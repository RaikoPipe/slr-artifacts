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Comparison" sheetId="3" state="visible" r:id="rId5"/>
    <sheet name="Reasoning_Only" sheetId="4" state="visible" r:id="rId6"/>
    <sheet name="Metrics_Comparison" sheetId="5" state="visible" r:id="rId7"/>
    <sheet name="Review_Version" sheetId="6" state="visible" r:id="rId8"/>
    <sheet name="R1_studies" sheetId="7" state="visible" r:id="rId9"/>
    <sheet name="R2_studies" sheetId="8" state="visible" r:id="rId10"/>
    <sheet name="R1_metrics" sheetId="9" state="visible" r:id="rId11"/>
    <sheet name="R2_metrics" sheetId="10" state="visible" r:id="rId12"/>
  </sheets>
  <definedNames>
    <definedName function="false" hidden="true" localSheetId="2" name="_xlnm._FilterDatabase" vbProcedure="false">Comparison!$A$1:$R$164</definedName>
    <definedName function="false" hidden="true" localSheetId="4" name="_xlnm._FilterDatabase" vbProcedure="false">Metrics_Comparison!$A$1:$R$80</definedName>
    <definedName function="false" hidden="true" localSheetId="3" name="_xlnm._FilterDatabase" vbProcedure="false">Reasoning_Only!$A$1:$H$271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<sst xmlns="http://schemas.openxmlformats.org/spreadsheetml/2006/main" count="8912" uniqueCount="2367">
  <si>
    <t xml:space="preserve">Extraction review – R1 vs R2 (pilot, 5 studies)</t>
  </si>
  <si>
    <t xml:space="preserve">Inputs: R1 = r1_retrieval_1.ods (venue_type re-reviewed via Scimago) · R2 = r2_extraction_v4.ods (schema 0.9.0). Identical structure; meta sheets differ only in boolean encoding (no content differences).</t>
  </si>
  <si>
    <t xml:space="preserve">Sheets</t>
  </si>
  <si>
    <t xml:space="preserve">Summary – open/resolved counts per study and field group; per-field raw agreement (live formulas).</t>
  </si>
  <si>
    <t xml:space="preserve">Comparison – one row per value field where R1 ≠ R2; the Field column carries the schema annotation (type, definition, allowed values) from the extraction-file header notes. Resolve here: fill the yellow columns.</t>
  </si>
  <si>
    <t xml:space="preserve">Metrics_Comparison – reported_metrics aligned by best match (name+value similarity); decide which entries to keep.</t>
  </si>
  <si>
    <t xml:space="preserve">Reasoning_Only – reasoning/rationale texts that differ although the value agrees (or is listed in Comparison). Reference only; no decision required.</t>
  </si>
  <si>
    <t xml:space="preserve">Review_Version – consensus record in the original wide layout. Agreed values are final (green); disagreements pull the consensus from Comparison automatically and show ⚠ UNRESOLVED until Status = Resolved (red).</t>
  </si>
  <si>
    <t xml:space="preserve">R1_studies / R2_studies / R1_metrics / R2_metrics – unmodified source data.</t>
  </si>
  <si>
    <t xml:space="preserve">Normalisation before comparing</t>
  </si>
  <si>
    <t xml:space="preserve">Booleans TRUE/1 and FALSE/0 treated as equal; multi-select fields compared as sets (order ignored); whitespace collapsed. Case-only differences listed as Low.</t>
  </si>
  <si>
    <t xml:space="preserve">Priority</t>
  </si>
  <si>
    <t xml:space="preserve">High = categorical / boolean / multi-select disagreement (affects synthesis; resolve). Medium = free-text value differs (check content). Low = case/format only, or reasoning text.</t>
  </si>
  <si>
    <t xml:space="preserve">How to resolve (§7 / §10)</t>
  </si>
  <si>
    <t xml:space="preserve">1. Discuss each row; enter the agreed value in "Consensus value" (use exact controlled-vocabulary terms; for multi-select separate with "; ").</t>
  </si>
  <si>
    <t xml:space="preserve">2. Optionally enter "Consensus reasoning"; otherwise Review_Version merges both reasonings as [R1]/[R2].</t>
  </si>
  <si>
    <t xml:space="preserve">3. Set Status (Resolved / Escalate-R3). Escalated rows: R3 enters the value in the same Consensus column and logs rationale in the Resolution note.</t>
  </si>
  <si>
    <t xml:space="preserve">4. Provenance after merge: identical → L-V; changed → L-C (per §7 step 5).</t>
  </si>
  <si>
    <t xml:space="preserve">Yellow cells = reviewer input. All other cells are data or formulas.</t>
  </si>
  <si>
    <t xml:space="preserve">Triage (post-High): columns Q–R on Comparison. Triage-closed rows carry Status=Resolved, Decided by=Triage – reviewers confirm or overrule.</t>
  </si>
  <si>
    <t xml:space="preserve">Blue = re-coded under schema v0.10.0 (repeated_runs free text; efficiency_metrics_reported yes/partially/no; data_available full/partial/none).</t>
  </si>
  <si>
    <t xml:space="preserve">Disagreements per study</t>
  </si>
  <si>
    <t xml:space="preserve">Study</t>
  </si>
  <si>
    <t xml:space="preserve">High</t>
  </si>
  <si>
    <t xml:space="preserve">Medium</t>
  </si>
  <si>
    <t xml:space="preserve">Low</t>
  </si>
  <si>
    <t xml:space="preserve">Total</t>
  </si>
  <si>
    <t xml:space="preserve">Resolved</t>
  </si>
  <si>
    <t xml:space="preserve">Escalated R3</t>
  </si>
  <si>
    <t xml:space="preserve">Open</t>
  </si>
  <si>
    <t xml:space="preserve">% resolved</t>
  </si>
  <si>
    <t xml:space="preserve">Metrics: identical</t>
  </si>
  <si>
    <t xml:space="preserve">Metrics: differs</t>
  </si>
  <si>
    <t xml:space="preserve">Metrics: only R1</t>
  </si>
  <si>
    <t xml:space="preserve">Metrics: only R2</t>
  </si>
  <si>
    <t xml:space="preserve">S1 – Schmitt et al. (2026)</t>
  </si>
  <si>
    <t xml:space="preserve">S2 – Werheid et al. (2025)</t>
  </si>
  <si>
    <t xml:space="preserve">S3 – Hu et al. (2026)</t>
  </si>
  <si>
    <t xml:space="preserve">S4 – Gao et al. (2026)</t>
  </si>
  <si>
    <t xml:space="preserve">S5 – Simchi-Levi et al. (2025)</t>
  </si>
  <si>
    <t xml:space="preserve">Disagreements per field group</t>
  </si>
  <si>
    <t xml:space="preserve">Field group</t>
  </si>
  <si>
    <t xml:space="preserve">study</t>
  </si>
  <si>
    <t xml:space="preserve">bibliographic_metadata</t>
  </si>
  <si>
    <t xml:space="preserve">study_characterization</t>
  </si>
  <si>
    <t xml:space="preserve">strategic_planning_scope</t>
  </si>
  <si>
    <t xml:space="preserve">llm_intervention</t>
  </si>
  <si>
    <t xml:space="preserve">or_substrate</t>
  </si>
  <si>
    <t xml:space="preserve">evaluation_and_outcomes</t>
  </si>
  <si>
    <t xml:space="preserve">record</t>
  </si>
  <si>
    <t xml:space="preserve">retrieval_traceability</t>
  </si>
  <si>
    <t xml:space="preserve">gap_indicators</t>
  </si>
  <si>
    <t xml:space="preserve">quality_appraisal</t>
  </si>
  <si>
    <t xml:space="preserve">Raw agreement per field (n = 5 studies; value fields only)</t>
  </si>
  <si>
    <t xml:space="preserve">Field</t>
  </si>
  <si>
    <t xml:space="preserve">Type</t>
  </si>
  <si>
    <t xml:space="preserve">Studies disagreeing</t>
  </si>
  <si>
    <t xml:space="preserve">Raw agreement</t>
  </si>
  <si>
    <t xml:space="preserve">schema_version</t>
  </si>
  <si>
    <t xml:space="preserve">categorical</t>
  </si>
  <si>
    <t xml:space="preserve">study_id</t>
  </si>
  <si>
    <t xml:space="preserve">bibliographic_metadata.doi</t>
  </si>
  <si>
    <t xml:space="preserve">free-text</t>
  </si>
  <si>
    <t xml:space="preserve">bibliographic_metadata.title</t>
  </si>
  <si>
    <t xml:space="preserve">bibliographic_metadata.authors</t>
  </si>
  <si>
    <t xml:space="preserve">bibliographic_metadata.affiliations</t>
  </si>
  <si>
    <t xml:space="preserve">bibliographic_metadata.country</t>
  </si>
  <si>
    <t xml:space="preserve">bibliographic_metadata.year</t>
  </si>
  <si>
    <t xml:space="preserve">bibliographic_metadata.venue</t>
  </si>
  <si>
    <t xml:space="preserve">bibliographic_metadata.venue_type</t>
  </si>
  <si>
    <t xml:space="preserve">bibliographic_metadata.language</t>
  </si>
  <si>
    <t xml:space="preserve">bibliographic_metadata.funding_source</t>
  </si>
  <si>
    <t xml:space="preserve">bibliographic_metadata.funding_description</t>
  </si>
  <si>
    <t xml:space="preserve">bibliographic_metadata.self_authored_flag</t>
  </si>
  <si>
    <t xml:space="preserve">boolean</t>
  </si>
  <si>
    <t xml:space="preserve">study_characterization.research_type</t>
  </si>
  <si>
    <t xml:space="preserve">study_characterization.validation_status</t>
  </si>
  <si>
    <t xml:space="preserve">study_characterization.industry_sector</t>
  </si>
  <si>
    <t xml:space="preserve">study_characterization.case_study_domain</t>
  </si>
  <si>
    <t xml:space="preserve">study_characterization.stated_research_questions</t>
  </si>
  <si>
    <t xml:space="preserve">strategic_planning_scope.subdomain</t>
  </si>
  <si>
    <t xml:space="preserve">multi-select</t>
  </si>
  <si>
    <t xml:space="preserve">strategic_planning_scope.planning_task_type</t>
  </si>
  <si>
    <t xml:space="preserve">strategic_planning_scope.other_planning_task_specification</t>
  </si>
  <si>
    <t xml:space="preserve">strategic_planning_scope.scp_process</t>
  </si>
  <si>
    <t xml:space="preserve">strategic_planning_scope.vdi5200_phase</t>
  </si>
  <si>
    <t xml:space="preserve">strategic_planning_scope.time_horizon_explicitly_stated</t>
  </si>
  <si>
    <t xml:space="preserve">strategic_planning_scope.stated_horizon_value</t>
  </si>
  <si>
    <t xml:space="preserve">strategic_planning_scope.planning_horizon_tiers</t>
  </si>
  <si>
    <t xml:space="preserve">strategic_planning_scope.authors_claimed_tier</t>
  </si>
  <si>
    <t xml:space="preserve">strategic_planning_scope.system_configuring_decision</t>
  </si>
  <si>
    <t xml:space="preserve">strategic_planning_scope.system_configuring_decision_stated</t>
  </si>
  <si>
    <t xml:space="preserve">strategic_planning_scope.system_configuring_decision_description</t>
  </si>
  <si>
    <t xml:space="preserve">strategic_planning_scope.theoretical_framework_cited</t>
  </si>
  <si>
    <t xml:space="preserve">strategic_planning_scope.other_theoretical_framework_specification</t>
  </si>
  <si>
    <t xml:space="preserve">llm_intervention.intervention_description</t>
  </si>
  <si>
    <t xml:space="preserve">llm_intervention.models</t>
  </si>
  <si>
    <t xml:space="preserve">llm_intervention.model_usage_context</t>
  </si>
  <si>
    <t xml:space="preserve">llm_intervention.model_family</t>
  </si>
  <si>
    <t xml:space="preserve">llm_intervention.other_model_family_specification</t>
  </si>
  <si>
    <t xml:space="preserve">llm_intervention.open_weight</t>
  </si>
  <si>
    <t xml:space="preserve">llm_intervention.model_size</t>
  </si>
  <si>
    <t xml:space="preserve">llm_intervention.deployment</t>
  </si>
  <si>
    <t xml:space="preserve">llm_intervention.modality</t>
  </si>
  <si>
    <t xml:space="preserve">llm_intervention.fine_tuning</t>
  </si>
  <si>
    <t xml:space="preserve">llm_intervention.fine_tuning_description</t>
  </si>
  <si>
    <t xml:space="preserve">llm_intervention.other_fine_tuning_specification</t>
  </si>
  <si>
    <t xml:space="preserve">llm_intervention.prompting_techniques</t>
  </si>
  <si>
    <t xml:space="preserve">llm_intervention.other_prompting_technique_specification</t>
  </si>
  <si>
    <t xml:space="preserve">llm_intervention.agentic_architecture</t>
  </si>
  <si>
    <t xml:space="preserve">llm_intervention.workflow_patterns</t>
  </si>
  <si>
    <t xml:space="preserve">llm_intervention.agent_memory</t>
  </si>
  <si>
    <t xml:space="preserve">llm_intervention.planning_reflection</t>
  </si>
  <si>
    <t xml:space="preserve">llm_intervention.tool_use</t>
  </si>
  <si>
    <t xml:space="preserve">llm_intervention.integrations</t>
  </si>
  <si>
    <t xml:space="preserve">or_substrate.optimization_tradition_present</t>
  </si>
  <si>
    <t xml:space="preserve">or_substrate.formalization_level</t>
  </si>
  <si>
    <t xml:space="preserve">or_substrate.optimization_paradigm</t>
  </si>
  <si>
    <t xml:space="preserve">or_substrate.other_optimization_paradigm_specification</t>
  </si>
  <si>
    <t xml:space="preserve">or_substrate.llm_or_role</t>
  </si>
  <si>
    <t xml:space="preserve">or_substrate.solver_type</t>
  </si>
  <si>
    <t xml:space="preserve">or_substrate.optimization_description</t>
  </si>
  <si>
    <t xml:space="preserve">evaluation_and_outcomes.study_design</t>
  </si>
  <si>
    <t xml:space="preserve">evaluation_and_outcomes.evaluation_paradigm</t>
  </si>
  <si>
    <t xml:space="preserve">evaluation_and_outcomes.dataset_or_benchmark</t>
  </si>
  <si>
    <t xml:space="preserve">evaluation_and_outcomes.comparator</t>
  </si>
  <si>
    <t xml:space="preserve">n_reported_metrics</t>
  </si>
  <si>
    <t xml:space="preserve">evaluation_and_outcomes.independent_evaluation</t>
  </si>
  <si>
    <t xml:space="preserve">evaluation_and_outcomes.sample_size</t>
  </si>
  <si>
    <t xml:space="preserve">evaluation_and_outcomes.repeated_runs</t>
  </si>
  <si>
    <t xml:space="preserve">evaluation_and_outcomes.llm_as_judge</t>
  </si>
  <si>
    <t xml:space="preserve">evaluation_and_outcomes.efficiency_metrics_reported</t>
  </si>
  <si>
    <t xml:space="preserve">evaluation_and_outcomes.statistical_testing</t>
  </si>
  <si>
    <t xml:space="preserve">evaluation_and_outcomes.reported_limitations</t>
  </si>
  <si>
    <t xml:space="preserve">evaluation_and_outcomes.outcome_summary</t>
  </si>
  <si>
    <t xml:space="preserve">retrieval_traceability.source</t>
  </si>
  <si>
    <t xml:space="preserve">retrieval_traceability.anchor_papers</t>
  </si>
  <si>
    <t xml:space="preserve">gap_indicators.hitl_pattern_present</t>
  </si>
  <si>
    <t xml:space="preserve">gap_indicators.hitl_type</t>
  </si>
  <si>
    <t xml:space="preserve">gap_indicators.hitl_description</t>
  </si>
  <si>
    <t xml:space="preserve">gap_indicators.hitl_type_other_specification</t>
  </si>
  <si>
    <t xml:space="preserve">gap_indicators.domain_knowledge_formalization_present</t>
  </si>
  <si>
    <t xml:space="preserve">gap_indicators.domain_knowledge_type</t>
  </si>
  <si>
    <t xml:space="preserve">gap_indicators.domain_knowledge_description</t>
  </si>
  <si>
    <t xml:space="preserve">gap_indicators.domain_knowledge_type_other_specification</t>
  </si>
  <si>
    <t xml:space="preserve">gap_indicators.evaluation_framework_used</t>
  </si>
  <si>
    <t xml:space="preserve">gap_indicators.evaluation_framework_type</t>
  </si>
  <si>
    <t xml:space="preserve">gap_indicators.evaluation_framework_description</t>
  </si>
  <si>
    <t xml:space="preserve">gap_indicators.evaluation_framework_type_other_specification</t>
  </si>
  <si>
    <t xml:space="preserve">gap_indicators.kg_model</t>
  </si>
  <si>
    <t xml:space="preserve">gap_indicators.kg_construction</t>
  </si>
  <si>
    <t xml:space="preserve">gap_indicators.kg_usage</t>
  </si>
  <si>
    <t xml:space="preserve">gap_indicators.standards_encoded</t>
  </si>
  <si>
    <t xml:space="preserve">gap_indicators.automation_stage</t>
  </si>
  <si>
    <t xml:space="preserve">gap_indicators.decision_autonomy</t>
  </si>
  <si>
    <t xml:space="preserve">quality_appraisal.q1_methodological_transparency</t>
  </si>
  <si>
    <t xml:space="preserve">quality_appraisal.q2_empirical_or_demonstration_grounding</t>
  </si>
  <si>
    <t xml:space="preserve">quality_appraisal.q3_validity_and_limitation_discussion</t>
  </si>
  <si>
    <t xml:space="preserve">quality_appraisal.q4_positioning_against_prior_work</t>
  </si>
  <si>
    <t xml:space="preserve">quality_appraisal.model_version_reported</t>
  </si>
  <si>
    <t xml:space="preserve">quality_appraisal.prompts_disclosed</t>
  </si>
  <si>
    <t xml:space="preserve">quality_appraisal.decoding_params_reported</t>
  </si>
  <si>
    <t xml:space="preserve">quality_appraisal.code_available</t>
  </si>
  <si>
    <t xml:space="preserve">quality_appraisal.data_available</t>
  </si>
  <si>
    <t xml:space="preserve">quality_appraisal.run_date_reported</t>
  </si>
  <si>
    <t xml:space="preserve">quality_appraisal.low_quality_flag</t>
  </si>
  <si>
    <t xml:space="preserve">kg_integrated</t>
  </si>
  <si>
    <t xml:space="preserve">consistency_flags</t>
  </si>
  <si>
    <t xml:space="preserve">study_type_category</t>
  </si>
  <si>
    <t xml:space="preserve">ID</t>
  </si>
  <si>
    <t xml:space="preserve">Difference</t>
  </si>
  <si>
    <t xml:space="preserve">R1 value</t>
  </si>
  <si>
    <t xml:space="preserve">R2 value</t>
  </si>
  <si>
    <t xml:space="preserve">R1 reasoning</t>
  </si>
  <si>
    <t xml:space="preserve">R2 reasoning</t>
  </si>
  <si>
    <t xml:space="preserve">Consensus value</t>
  </si>
  <si>
    <t xml:space="preserve">Consensus reasoning</t>
  </si>
  <si>
    <t xml:space="preserve">Status</t>
  </si>
  <si>
    <t xml:space="preserve">Resolution note</t>
  </si>
  <si>
    <t xml:space="preserve">Decided by</t>
  </si>
  <si>
    <t xml:space="preserve">Triage (post-High)</t>
  </si>
  <si>
    <t xml:space="preserve">Triage rationale</t>
  </si>
  <si>
    <t xml:space="preserve">D001</t>
  </si>
  <si>
    <r>
      <rPr>
        <b val="true"/>
        <sz val="10"/>
        <rFont val="Arial"/>
        <family val="0"/>
        <charset val="1"/>
      </rPr>
      <t xml:space="preserve">study_characterization.research_type
</t>
    </r>
    <r>
      <rPr>
        <i val="true"/>
        <sz val="8"/>
        <color rgb="FF595959"/>
        <rFont val="Arial"/>
        <family val="0"/>
        <charset val="1"/>
      </rPr>
      <t xml:space="preserve">
Type: ResearchType
Research type of the paper's contribution (Wieringa et al. 2006 facet). Lab/benchmark evaluation -&gt; validation-research; evaluation in operational practice -&gt; evaluation-research.
 Types: - validation-research: Novel technique evaluated in the lab / artificial setting (experiments, simulations, benchmarks, prototype on test cases), not yet used in practice
- evaluation-research: Technique evaluated in practice (naturalistic setting: real organisation, real users, real data in operational use), incl. industrial case studies
- solution-proposal: Novel or significantly extended technique, argued for with a small example or none; no thorough evaluation
- philosophical-paper: New way of looking at the field: taxonomy, conceptual framework, research agenda
- opinion-paper: Personal opinion on what is good or bad, not grounded in related work or method
- experience-paper: Practitioner's account of what was done in practice and how it went</t>
    </r>
  </si>
  <si>
    <t xml:space="preserve">Only R1: validation-research | Only R2: evaluation-research</t>
  </si>
  <si>
    <t xml:space="preserve">validation-research</t>
  </si>
  <si>
    <t xml:space="preserve">evaluation-research</t>
  </si>
  <si>
    <t xml:space="preserve">The paper proposes a novel end-to-end LLM-driven DES workflow (builder, inspector, visualizer, bottleneck, CPD, adaptor and evaluator agents) and evaluates it through 21 researcher-run experimental runs on two industrial production-line cases (Sec. 4.4, Sec. 5). Validation-research is chosen over evaluation-research because the workflow was not deployed in operational use by practitioners. The paper states: "Implementing the suggested changes in production fell outside the scope of this study" (Fig. 1 caption). Case B also used "a simplified mock-up event log", and the CPDs were fictitious (Sec. 4.2). Evaluation was through repeated experiments plus comparison against FACTS Analyzer models. Uncertainty (?): the cases come from a real company (Scania) and real MES data was used for Case A, so a reviewer could argue for evaluation-research under the 'industrial case studies' clause.</t>
  </si>
  <si>
    <t xml:space="preserve">The paper presents a novel LLM-driven workflow for discrete-event simulation (DES) and evaluates it using two real-world industrial case studies from a Swedish automotive manufacturer (Scania). The evaluation involves systematic analysis of 21 experimental runs, comparing generated models against commercial simulation software (FACTS Analyzer) with defined metrics (Throughput, WIP, SEC). This fits the definition of evaluation-research: 'Technique evaluated in practice (naturalistic setting: real organisation, real users, real data in operational use), incl. industrial case studies'. See Section 1 (Introduction), Section 4.2 (Use case and data collection), and Section 5 (Results).</t>
  </si>
  <si>
    <t xml:space="preserve">Case A is derived from real data, therefore industrial case study which fulfills the requirement under the clause “industrial case study”</t>
  </si>
  <si>
    <t xml:space="preserve">Resolved by reviewers</t>
  </si>
  <si>
    <t xml:space="preserve">D002</t>
  </si>
  <si>
    <r>
      <rPr>
        <b val="true"/>
        <sz val="10"/>
        <rFont val="Arial"/>
        <family val="0"/>
        <charset val="1"/>
      </rPr>
      <t xml:space="preserve">study_characterization.industry_sector
</t>
    </r>
    <r>
      <rPr>
        <i val="true"/>
        <sz val="8"/>
        <color rgb="FF595959"/>
        <rFont val="Arial"/>
        <family val="0"/>
        <charset val="1"/>
      </rPr>
      <t xml:space="preserve">
Type: str
Industry sector as reported. NR if absent.</t>
    </r>
  </si>
  <si>
    <t xml:space="preserve">Case/whitespace only</t>
  </si>
  <si>
    <t xml:space="preserve">Automotive manufacturing</t>
  </si>
  <si>
    <t xml:space="preserve">Automotive Manufacturing</t>
  </si>
  <si>
    <t xml:space="preserve">The cases come from "a large Swedish automotive manufacturer" (Sec. 1, Sec. 4.2). The affiliations name Scania CV AB.</t>
  </si>
  <si>
    <t xml:space="preserve">The paper explicitly states that the case studies are from 'a large Swedish automotive manufacturer' (identified as Scania CV AB in the author affiliations and abstract). The context is 'manufacturing industries' and 'production systems'. See Section 1 (Introduction) and Section 4.2 (Use case and data collection).</t>
  </si>
  <si>
    <t xml:space="preserve">Triage</t>
  </si>
  <si>
    <t xml:space="preserve">No discussion needed</t>
  </si>
  <si>
    <t xml:space="preserve">case only</t>
  </si>
  <si>
    <t xml:space="preserve">D003</t>
  </si>
  <si>
    <r>
      <rPr>
        <b val="true"/>
        <sz val="10"/>
        <rFont val="Arial"/>
        <family val="0"/>
        <charset val="1"/>
      </rPr>
      <t xml:space="preserve">study_characterization.case_study_domain
</t>
    </r>
    <r>
      <rPr>
        <i val="true"/>
        <sz val="8"/>
        <color rgb="FF595959"/>
        <rFont val="Arial"/>
        <family val="0"/>
        <charset val="1"/>
      </rPr>
      <t xml:space="preserve">
Type: str
Case study domain as reported. NR if absent.</t>
    </r>
  </si>
  <si>
    <t xml:space="preserve">Text differs (similarity 25%)</t>
  </si>
  <si>
    <t xml:space="preserve">Discrete-event simulation of production lines for capacity and energy-efficiency assessment (Case A: an automated machining line with 4 serial operations; Case B: an automated assembly line with 7 operations including parallel presses)</t>
  </si>
  <si>
    <t xml:space="preserve">Discrete-Event Simulation (DES) in Manufacturing</t>
  </si>
  <si>
    <t xml:space="preserve">Sec. 4.4 and Sec. 5 describe "an automated assembly line and an automated machining line". Sec. 5.3 describes Case A as four sequential operations. Sec. 5.4 describes Case B as seven machines with two parallel presses. The KPIs were TH, WIP and SEC (Sec. 4.2).</t>
  </si>
  <si>
    <t xml:space="preserve">The core domain is the automation of Discrete-Event Simulation (DES) modeling for manufacturing systems. The specific application areas are capacity analysis, energy efficiency assessment, and bottleneck identification in production lines (machining and assembly). See Abstract and Section 2.2 (Manufacturing system simulation).</t>
  </si>
  <si>
    <t xml:space="preserve">R2 generic, R1 specific as reported; not used for coding</t>
  </si>
  <si>
    <t xml:space="preserve">D004</t>
  </si>
  <si>
    <r>
      <rPr>
        <b val="true"/>
        <sz val="10"/>
        <rFont val="Arial"/>
        <family val="0"/>
        <charset val="1"/>
      </rPr>
      <t xml:space="preserve">strategic_planning_scope.vdi5200_phase
</t>
    </r>
    <r>
      <rPr>
        <i val="true"/>
        <sz val="8"/>
        <color rgb="FF595959"/>
        <rFont val="Arial"/>
        <family val="0"/>
        <charset val="1"/>
      </rPr>
      <t xml:space="preserve">
Type: list[VDI5200Phase]
VDI 5200 factory planning phase(s) the method supports, pick all applicable. 'NA' (exclusive) iff 'factory-planning' is not in subdomain.
 Types: - 1-setting-of-objectives: Phase 1: Zielfestlegung (setting of objectives)
- 2-project-basis: Phase 2: Grundlagenermittlung (establishment of the project basis)
- 3-concept-planning: Phase 3: Konzeptplanung (concept planning: structure, dimensioning, layout variants)
- 4-detailed-planning: Phase 4: Detailplanung (detailed planning)
- 5-preparation-for-realization: Phase 5: Realisierungsvorbereitung (preparation for realization, tenders)
- 6-realization-supervision: Phase 6: Realisierungsueberwachung (realization supervision)
- 7-ramp-up-support: Phase 7: Hochlaufbetreuung (ramp-up support)
- NA: Not a factory planning study</t>
    </r>
  </si>
  <si>
    <t xml:space="preserve">Only R1: 4-detailed-planning</t>
  </si>
  <si>
    <t xml:space="preserve">3-concept-planning; 4-detailed-planning</t>
  </si>
  <si>
    <t xml:space="preserve">3-concept-planning</t>
  </si>
  <si>
    <t xml:space="preserve">VDI 5200 is not referenced. The method evaluates line variants via simulation: structural changes such as adding a parallel station, and buffer dimensioning (Sec. 4.3.3). This fits concept-planning dimensioning and variant evaluation as well as detailed-planning parameter refinement. The mapping is uncertain (?) because the study concerns improvement of existing lines rather than a new factory planning project. Implementation in production is explicitly out of scope (Fig. 1 caption).</t>
  </si>
  <si>
    <t xml:space="preserve">The method supports evaluating different configurations (e.g., buffer sizes, parallel stations) to determine the best improvement. This is a conceptual evaluation of system variants, aligning with VDI 5200 Phase 3 (Konzeptplanung). It is not Phase 4 (Detailplanung) as it doesn't produce detailed engineering drawings or specific component specs, nor Phase 1/2 as the objectives and basis are already defined by the case studies.</t>
  </si>
  <si>
    <t xml:space="preserve">D005</t>
  </si>
  <si>
    <r>
      <rPr>
        <b val="true"/>
        <sz val="10"/>
        <rFont val="Arial"/>
        <family val="0"/>
        <charset val="1"/>
      </rPr>
      <t xml:space="preserve">strategic_planning_scope.planning_horizon_tiers
</t>
    </r>
    <r>
      <rPr>
        <i val="true"/>
        <sz val="8"/>
        <color rgb="FF595959"/>
        <rFont val="Arial"/>
        <family val="0"/>
        <charset val="1"/>
      </rPr>
      <t xml:space="preserve">
Type: list[PlanningHorizonTier]
Reviewer-judged planning horizon tiers for which the paper's method produces or supports a decision, pick all applicable; tiers only mentioned as context do not count. 'NA' only if no tier is addressed. Strategic is selected iff system_configuring_decision is true.
 Types: - NA: No planning horizon addressed
- Strategic: Strategic planning horizon (system configuration: what exists); set iff system_configuring_decision
- Tactical: Tactical planning horizon (mid-term allocation of existing resources)
- Operational: Operational planning horizon (short-term scheduling and control)</t>
    </r>
  </si>
  <si>
    <t xml:space="preserve">Only R1: Tactical</t>
  </si>
  <si>
    <t xml:space="preserve">Strategic; Tactical</t>
  </si>
  <si>
    <t xml:space="preserve">Strategic</t>
  </si>
  <si>
    <t xml:space="preserve">No horizon statements appear in the paper; the tiers are reviewer judgement. Strategic: structural changes determine what exists, e.g. 'Add a third parallel press with its own pre-buffer instance' (Fig. 14) and buffer capacity increases (Fig. 7, 14). Tactical: parametric improvements of existing machines, such as availability, cycle time, MTTR and defect rate (Table 5, Table 7). The strategic tier is borderline (?) because the decisions concern line-level modification within an existing plant.</t>
  </si>
  <si>
    <t xml:space="preserve">The method supports decisions that configure the system structure, such as adding or removing operations (structural adaptations) and changing buffer capacities. According to the schema definition, 'Strategic' is selected iff system_configuring_decision is true. These decisions determine what exists in the system (e.g., number of parallel presses), which is a system configuration decision.</t>
  </si>
  <si>
    <t xml:space="preserve">D006</t>
  </si>
  <si>
    <r>
      <rPr>
        <b val="true"/>
        <sz val="10"/>
        <rFont val="Arial"/>
        <family val="0"/>
        <charset val="1"/>
      </rPr>
      <t xml:space="preserve">strategic_planning_scope.authors_claimed_tier
</t>
    </r>
    <r>
      <rPr>
        <i val="true"/>
        <sz val="8"/>
        <color rgb="FF595959"/>
        <rFont val="Arial"/>
        <family val="0"/>
        <charset val="1"/>
      </rPr>
      <t xml:space="preserve">
Type: list[PlanningHorizonTier]
Tier(s) the authors themselves claim to address (e.g., 'strategic planning'), regardless of the reviewer judgement in planning_horizon_tiers; 'NA' if the authors make no tier claim. Compared with planning_horizon_tiers in the analysis ('claimed strategic, actually tactical').
 Types: - NA: No planning horizon addressed
- Strategic: Strategic planning horizon (system configuration: what exists); set iff system_configuring_decision
- Tactical: Tactical planning horizon (mid-term allocation of existing resources)
- Operational: Operational planning horizon (short-term scheduling and control)</t>
    </r>
  </si>
  <si>
    <t xml:space="preserve">Only R2: Strategic</t>
  </si>
  <si>
    <t xml:space="preserve">No claim found. The authors speak of 'decision support', 'process improvements' and 'scenario exploration' but do not label the work strategic, tactical or operational.</t>
  </si>
  <si>
    <t xml:space="preserve">The authors frame the work as supporting 'decision support' for 'process improvements' and 'capacity and energy efficiency assessments' (Abstract, Section 1). They discuss 'brownfield' cases and 'conceptual greenfield models' (Section 6.3), implying a focus on optimizing existing or near-term configurations. While they don't explicitly use the word 'strategic', the nature of the tasks (structural changes like adding machines) aligns with the strategic tier of system configuration in the context of the schema's definitions.</t>
  </si>
  <si>
    <t xml:space="preserve">D007</t>
  </si>
  <si>
    <r>
      <rPr>
        <b val="true"/>
        <sz val="10"/>
        <rFont val="Arial"/>
        <family val="0"/>
        <charset val="1"/>
      </rPr>
      <t xml:space="preserve">strategic_planning_scope.system_configuring_decision_stated
</t>
    </r>
    <r>
      <rPr>
        <i val="true"/>
        <sz val="8"/>
        <color rgb="FF595959"/>
        <rFont val="Arial"/>
        <family val="0"/>
        <charset val="1"/>
      </rPr>
      <t xml:space="preserve">
Type: bool
True only if the authors themselves frame the decision as configuring or designing the system (what exists); a verbatim quote is required in the reasoning. Default False if no such statement exists. Can only be true if system_configuring_decision is true.</t>
    </r>
  </si>
  <si>
    <t xml:space="preserve">R1 FALSE vs R2 TRUE</t>
  </si>
  <si>
    <t xml:space="preserve">FALSE</t>
  </si>
  <si>
    <t xml:space="preserve">TRUE</t>
  </si>
  <si>
    <t xml:space="preserve">No statement found that frames the decision as designing or configuring the system. The authors describe 'adaptations' of simulation models and 'process improvements' (Sec. 4.3.3) for 'decision support'.</t>
  </si>
  <si>
    <t xml:space="preserve">Section 4.3.3 states: 'Adaptations fall into one of three 'complexity' levels; ... (ii) intermediate complexity for structural adaptations (e.g., adding or removing operations)'. Section 5.4.3 describes implementing a suggestion to 'Add a third parallel press'. This explicitly frames the decision as configuring the system structure.</t>
  </si>
  <si>
    <t xml:space="preserve">D008</t>
  </si>
  <si>
    <r>
      <rPr>
        <b val="true"/>
        <sz val="10"/>
        <rFont val="Arial"/>
        <family val="0"/>
        <charset val="1"/>
      </rPr>
      <t xml:space="preserve">strategic_planning_scope.system_configuring_decision_description
</t>
    </r>
    <r>
      <rPr>
        <i val="true"/>
        <sz val="8"/>
        <color rgb="FF595959"/>
        <rFont val="Arial"/>
        <family val="0"/>
        <charset val="1"/>
      </rPr>
      <t xml:space="preserve">
Type: str | None
Free-text description, if system_configuring_decision is true, of what the decision determines (entities created, capacities set, locations chosen), as reported.</t>
    </r>
  </si>
  <si>
    <t xml:space="preserve">Text differs (similarity 3%)</t>
  </si>
  <si>
    <t xml:space="preserve">Evaluation of line modifications: adding a third parallel press with a pre-buffer (Case B) and changing buffer capacities around bottlenecks (Cases A and B), assessed on throughput, WIP and specific energy consumption.</t>
  </si>
  <si>
    <t xml:space="preserve">The decision determines the structural configuration of the production line, including the number of parallel machines (e.g., adding a third press), buffer capacities, and machine availability settings.</t>
  </si>
  <si>
    <t xml:space="preserve">Moot – follows resolved field</t>
  </si>
  <si>
    <t xml:space="preserve">system-configuring not stated (= R1); R2 wording frames it as stated (D007)</t>
  </si>
  <si>
    <t xml:space="preserve">D009</t>
  </si>
  <si>
    <r>
      <rPr>
        <b val="true"/>
        <sz val="10"/>
        <rFont val="Arial"/>
        <family val="0"/>
        <charset val="1"/>
      </rPr>
      <t xml:space="preserve">llm_intervention.intervention_description
</t>
    </r>
    <r>
      <rPr>
        <i val="true"/>
        <sz val="8"/>
        <color rgb="FF595959"/>
        <rFont val="Arial"/>
        <family val="0"/>
        <charset val="1"/>
      </rPr>
      <t xml:space="preserve">
Type: str
Free-text description of the role the LLM/agent system plays in the planning task: inputs, outputs, and decision support function as reported.</t>
    </r>
  </si>
  <si>
    <t xml:space="preserve">Text differs (similarity 2%)</t>
  </si>
  <si>
    <t xml:space="preserve">An end-to-end LLM-driven workflow, implemented with Python scripts and several fixed LLM API calls, automates discrete-event simulation (DES) modeling for capacity and energy-efficiency assessment of manufacturing lines. Input data (MES event logs, power ratings, defects, critical process definitions (CPDs), production calendar) are first pre-processed with static Python code and PM4Py, without an LLM. The LLM roles are:
- Builder-agent (GPT-5.1): adapts a generic SimPy blueprint model into an executable current-state Python simulation model, using the structured production parameters and natural-language instructions.
- Inspector-agent: verifies and repairs the generated code.
- Visualizer-agent (GPT-5-mini): translates the Python model into Mermaid/JavaScript flow charts for visual inspection.
- Bottleneck-agent (GPT-4o, structured JSON output): turns the utilization-based bottleneck ranking into improvement suggestions.
- CPD-agent (GPT-5-mini): checks the suggestions against CPD constraints and issues warnings.
- Adaptor-agent (GPT-5-mini, one instance per suggestion): produces N adapted models, each checked and repaired by the inspector-agent.
- Evaluator-agent (GPT-5-mini): compares the KPIs (throughput, WIP, specific energy consumption) of the baseline and adapted models and writes textual decision-support recommendations with trade-offs.
Human-in-the-loop checkpoints are: mandatory inspection and repair of the initial model, an optional extra improvement suggestion, and mandatory verification of the results. The workflow was evaluated over 21 runs on two real automotive production lines (Case A: 10 runs; Case B: 11 runs). Validation compared outputs against FACTS Analyzer models.</t>
  </si>
  <si>
    <t xml:space="preserve">The LLM system automates the end-to-end workflow of discrete-event simulation (DES) modeling in manufacturing. It generates executable Python simulation code (using SimPy) from heterogeneous production data (event logs, machine metrics, part-flow logic) and a blueprint model. It then adapts these models based on bottleneck analysis and human suggestions, checks for constraint violations (CPDs), and evaluates simulation outcomes (Throughput, WIP, SEC) to provide decision support. The workflow involves multiple specialized LLM roles (builder, inspector, visualizer, bottleneck, CPD, adaptor, evaluator) operating in a fixed pipeline with human-in-the-loop checkpoints.</t>
  </si>
  <si>
    <t xml:space="preserve">An end-to-end LLM-driven workflow, implemented with Python scripts and several fixed LLM API calls, automates discrete-event simulation (DES) modeling for capacity and energy-efficiency assessment of manufacturing lines. Input data (MES event logs, power ratings, defects, critical process definitions (CPDs), production calendar) are first pre-processed with static Python code and PM4Py, without an LLM. The LLM roles are:- Builder-agent (GPT-5.1): adapts a generic SimPy blueprint model into an executable current-state Python simulation model, using the structured production parameters and natural-language instructions.- Inspector-agent: verifies and repairs the generated code.- Visualizer-agent (GPT-5-mini): translates the Python model into Mermaid/JavaScript flow charts for visual inspection.- Bottleneck-agent (GPT-4o, structured JSON output): turns the utilization-based bottleneck ranking into improvement suggestions.- CPD-agent (GPT-5-mini): checks the suggestions against CPD constraints and issues warnings.- Adaptor-agent (GPT-5-mini, one instance per suggestion): produces N adapted models, each checked and repaired by the inspector-agent.- Evaluator-agent (GPT-5-mini): compares the KPIs (throughput, WIP, specific energy consumption) of the baseline and adapted models and writes textual decision-support recommendations with trade-offs.Human-in-the-loop checkpoints are: mandatory inspection and repair of the initial model, an optional extra improvement suggestion, and mandatory verification of the results. The workflow was evaluated over 21 runs on two real automotive production lines (Case A: 10 runs; Case B: 11 runs). Validation compared outputs against FACTS Analyzer models.</t>
  </si>
  <si>
    <t xml:space="preserve">paraphrases of the same content; narrative field, no categorical impact</t>
  </si>
  <si>
    <t xml:space="preserve">D010</t>
  </si>
  <si>
    <r>
      <rPr>
        <b val="true"/>
        <sz val="10"/>
        <rFont val="Arial"/>
        <family val="0"/>
        <charset val="1"/>
      </rPr>
      <t xml:space="preserve">llm_intervention.model_usage_context
</t>
    </r>
    <r>
      <rPr>
        <i val="true"/>
        <sz val="8"/>
        <color rgb="FF595959"/>
        <rFont val="Arial"/>
        <family val="0"/>
        <charset val="1"/>
      </rPr>
      <t xml:space="preserve">
Type: str | None
Free-text elaboration of which model is used for what, when multiple models are reported.</t>
    </r>
  </si>
  <si>
    <t xml:space="preserve">Text differs (similarity 5%)</t>
  </si>
  <si>
    <t xml:space="preserve">GPT-5.1 handles the most demanding tasks: model generation (builder-agent) and the inspector-agent for the initial model. GPT-5-mini handles the cost-efficient tasks: flow-chart conversion (visualizer-agent), model adaptations (adaptor-agent and inspector-agent), CPD checking and the evaluation summaries (evaluator-agent). GPT-4o generates the JSON improvement instructions from the bottleneck analysis (bottleneck-agent) because it supports structured output.</t>
  </si>
  <si>
    <t xml:space="preserve">GPT-5.1 is used for the most complex tasks, specifically generating the initial simulation model (builder-agent) and inspecting/repairing it (inspector-agent). GPT-5-mini is used for simpler tasks such as converting models to flow charts (visualizer-agent), implementing adaptations (adaptor-agent), and generating summaries (evaluator-agent, CPD-agent). GPT-4o is used for generating JSON instructions from bottleneck analysis (bottleneck-agent) due to its structured output capability.</t>
  </si>
  <si>
    <t xml:space="preserve">D011</t>
  </si>
  <si>
    <r>
      <rPr>
        <b val="true"/>
        <sz val="10"/>
        <rFont val="Arial"/>
        <family val="0"/>
        <charset val="1"/>
      </rPr>
      <t xml:space="preserve">evaluation_and_outcomes.evaluation_paradigm
</t>
    </r>
    <r>
      <rPr>
        <i val="true"/>
        <sz val="8"/>
        <color rgb="FF595959"/>
        <rFont val="Arial"/>
        <family val="0"/>
        <charset val="1"/>
      </rPr>
      <t xml:space="preserve">
Type: EvaluationParadigm
Artificial vs. naturalistic evaluation (FEDS); 'NA' iff study_design is 'none'.
 Types: - artificial: All evaluation episodes are artificial
- naturalistic: All evaluation episodes are naturalistic
- both: Both artificial and naturalistic episodes
- NA: No evaluation (study_design is 'none')</t>
    </r>
  </si>
  <si>
    <t xml:space="preserve">Only R1: both | Only R2: naturalistic</t>
  </si>
  <si>
    <t xml:space="preserve">both</t>
  </si>
  <si>
    <t xml:space="preserve">naturalistic</t>
  </si>
  <si>
    <t xml:space="preserve">Classification is uncertain ('?'). Case A uses real MES event logs from a real production line, with power estimated from supplier specifications (Sec. 4.2), which leans naturalistic. Case B uses a simplified mock-up event log and part-flow logic so the data could be shared. The CPDs for both cases were fictitious and created with a company simulation expert (Sec. 4.2), which is artificial. All runs were executed by the authors rather than by real end users in operations, which also pushes toward artificial. Coded 'both' to reflect real-system data (Case A) alongside mock-up/fictitious inputs (Case B, CPDs).</t>
  </si>
  <si>
    <t xml:space="preserve">The evaluation uses 'real-world production lines' and 'heterogeneous production data' from a 'large Swedish automotive manufacturer' (Abstract, Section 4.2). The cases are described as actual production scenarios, not simulated or invented data for the purpose of the test itself (though the simulation models are built from this data). This aligns with the 'naturalistic' paradigm (real users, real problem, real organisation/system).</t>
  </si>
  <si>
    <t xml:space="preserve">D012</t>
  </si>
  <si>
    <r>
      <rPr>
        <b val="true"/>
        <sz val="10"/>
        <rFont val="Arial"/>
        <family val="0"/>
        <charset val="1"/>
      </rPr>
      <t xml:space="preserve">evaluation_and_outcomes.dataset_or_benchmark
</t>
    </r>
    <r>
      <rPr>
        <i val="true"/>
        <sz val="8"/>
        <color rgb="FF595959"/>
        <rFont val="Arial"/>
        <family val="0"/>
        <charset val="1"/>
      </rPr>
      <t xml:space="preserve">
Type: str
Dataset or benchmark name and size as reported. NR if absent.</t>
    </r>
  </si>
  <si>
    <t xml:space="preserve">Two industrial case datasets from a Swedish automotive manufacturer: Case A (MES event logs for a 4-machine serial machining line) and Case B (simplified mock-up event log for a 7-station assembly line with parallel presses; shared on GitHub)</t>
  </si>
  <si>
    <t xml:space="preserve">NR</t>
  </si>
  <si>
    <t xml:space="preserve">Sec. 4.2 and Sec. 5.3.1/5.4.1 describe the data sources. No public benchmark was used. Case B data is available at github.com/thomasschmitt1993/LLM-DES-Modeling. Table 2 SWE-bench values are cited only to motivate model selection; they are not used to evaluate this method.</t>
  </si>
  <si>
    <t xml:space="preserve">The paper uses proprietary industrial data from Scania CV AB (event logs, MES data) for two specific production lines. It does not reference a public dataset or benchmark name (e.g., SWE-bench is mentioned only for LLM capability comparison in Table 2, not as the evaluation dataset for the simulation workflow). The data is described as 'heterogeneous production data' and 'event logs' but not named as a specific public benchmark.</t>
  </si>
  <si>
    <t xml:space="preserve">evaluation_framework_type consensus includes custom-test-set → "NR" contradicts it</t>
  </si>
  <si>
    <t xml:space="preserve">D013</t>
  </si>
  <si>
    <r>
      <rPr>
        <b val="true"/>
        <sz val="10"/>
        <rFont val="Arial"/>
        <family val="0"/>
        <charset val="1"/>
      </rPr>
      <t xml:space="preserve">n_reported_metrics
</t>
    </r>
    <r>
      <rPr>
        <i val="true"/>
        <sz val="8"/>
        <color rgb="FF595959"/>
        <rFont val="Arial"/>
        <family val="0"/>
        <charset val="1"/>
      </rPr>
      <t xml:space="preserve">
Number of reported metrics (one row each on the reported_metrics sheet).</t>
    </r>
  </si>
  <si>
    <t xml:space="preserve">Only R1: 15 | Only R2: 12</t>
  </si>
  <si>
    <t xml:space="preserve">15</t>
  </si>
  <si>
    <t xml:space="preserve">12</t>
  </si>
  <si>
    <t xml:space="preserve">Values are taken from Tables 5, 7, 8 and 9, Figs. 6, 9, 13, 16 and 18, and Secs. 5.3 to 5.6. The SEC percentage labels in the figure transcriptions are partly inconsistent (e.g., V2 Case B SEC shown as -5.4% and -6.4%, while the evaluator text states ~6.3%), so that SEC value is omitted. The Fig. 18 percentages were read from the bar chart.</t>
  </si>
  <si>
    <t xml:space="preserve">Metrics were extracted from Section 5.6 (validation deviations), Table 5 and Table 7 captions (cost, time, tokens). The paper reports KPIs (TH, WIP, SEC) for the simulation models themselves (e.g., Fig 6, Fig 13), but the primary evaluation metrics for the *method's* performance are the deviations from the ground truth (FACTS Analyzer) and the efficiency metrics (cost/time). The KPI values of the simulation models are outputs of the simulation, not metrics of the LLM framework's accuracy per se, though they are reported. I included the deviation metrics as they directly evaluate the LLM's output quality against a comparator.</t>
  </si>
  <si>
    <t xml:space="preserve">D014</t>
  </si>
  <si>
    <r>
      <rPr>
        <b val="true"/>
        <sz val="10"/>
        <rFont val="Arial"/>
        <family val="0"/>
        <charset val="1"/>
      </rPr>
      <t xml:space="preserve">evaluation_and_outcomes.sample_size
</t>
    </r>
    <r>
      <rPr>
        <i val="true"/>
        <sz val="8"/>
        <color rgb="FF595959"/>
        <rFont val="Arial"/>
        <family val="0"/>
        <charset val="1"/>
      </rPr>
      <t xml:space="preserve">
Type: str
Number of test cases, users, or records as reported. NR if absent.</t>
    </r>
  </si>
  <si>
    <t xml:space="preserve">Text differs (similarity 78%)</t>
  </si>
  <si>
    <t xml:space="preserve">2 production cases; 21 experimental workflow runs (10 for Case A, 11 for Case B)</t>
  </si>
  <si>
    <t xml:space="preserve">21 experimental runs (10 for Case A, 11 for Case B)</t>
  </si>
  <si>
    <t xml:space="preserve">Stated in the abstract and in Sec. 5 and 5.5. Simulation replications (25 for Case A, 10 for Case B) are a separate quantity and refer to stochastic simulation runs, not LLM evaluation items.</t>
  </si>
  <si>
    <t xml:space="preserve">The Abstract states '21 experimental runs'. Section 5.3.4 mentions 'ten experiments' for Case A. Section 5.4.4 mentions 'eleven experiments' for Case B. 10 + 11 = 21.</t>
  </si>
  <si>
    <t xml:space="preserve">R1 contains all R2 counts (superset)</t>
  </si>
  <si>
    <t xml:space="preserve">D015</t>
  </si>
  <si>
    <r>
      <rPr>
        <b val="true"/>
        <sz val="10"/>
        <rFont val="Arial"/>
        <family val="0"/>
        <charset val="1"/>
      </rPr>
      <t xml:space="preserve">evaluation_and_outcomes.repeated_runs
</t>
    </r>
    <r>
      <rPr>
        <i val="true"/>
        <sz val="8"/>
        <color rgb="FF595959"/>
        <rFont val="Arial"/>
        <family val="0"/>
        <charset val="1"/>
      </rPr>
      <t xml:space="preserve">
Type: Annotated[int, FieldInfo(annotation=NoneType, required=True, metadata=[Ge(ge=1)])] | Literal['NR']
Number of repeated runs per test item/case used to capture LLM output variability (1 if explicitly a single run). NR if not reported.</t>
    </r>
  </si>
  <si>
    <t xml:space="preserve">Only R1: 10 | Only R2: 21</t>
  </si>
  <si>
    <t xml:space="preserve">10</t>
  </si>
  <si>
    <t xml:space="preserve">21</t>
  </si>
  <si>
    <t xml:space="preserve">Repeated runs: the full LLM workflow was executed 10 times on Case A and 11 times on Case B to capture output variability (Tables 5 and 7). The minimum of 10 is coded because the schema requires a single integer. LLM-as-judge: the inspector and evaluator agents are components of the method itself; the method's outputs were judged by the authors and the human-in-the-loop, not by an LLM. Efficiency: tokens, API cost and execution time are reported (Table 5 and 7 captions). Statistical testing: input-output validation against FACTS Analyzer used means and 95% confidence intervals from independent replications (Sec. 4.4, 5.6). No hypothesis tests were reported.</t>
  </si>
  <si>
    <t xml:space="preserve">Repeated runs: 21 total runs across two cases. LLM as judge: The 'evaluator-agent' interprets results, but the *evaluation of the framework's validity* is done by comparing against FACTS Analyzer (conventional method) and human inspection, not by an LLM scoring the LLM's performance against a ground truth in a meta-evaluation sense. However, the 'evaluator-agent' is part of the workflow. The schema asks if an LLM scores/judges the *outputs of the paper's method*. The paper's method *is* the workflow. The evaluation of the workflow's success is based on code correctness (human/inspector agent) and KPI deviation (comparison to FACTS). The 'evaluator-agent' is a component of the system being tested, not an external judge of the system's validity. Therefore, false. Efficiency: True, cost and time are reported in Table 5/7 captions. Statistical testing: True, Section 5.6 mentions '95% confidence intervals' and 'statistical testing' is suggested in the evaluator output (Fig 10/17) and validation criteria mention confidence intervals.</t>
  </si>
  <si>
    <t xml:space="preserve">10 for Case A, 11 for Case B</t>
  </si>
  <si>
    <t xml:space="preserve">should be free-text answer because reference to test case is needed</t>
  </si>
  <si>
    <t xml:space="preserve">R1+R2</t>
  </si>
  <si>
    <t xml:space="preserve">Re-coded v0.10.0</t>
  </si>
  <si>
    <t xml:space="preserve">v0.10.0: free text (D015); per-case counts as reported in Tables 5 and 7</t>
  </si>
  <si>
    <t xml:space="preserve">D016</t>
  </si>
  <si>
    <r>
      <rPr>
        <b val="true"/>
        <sz val="10"/>
        <rFont val="Arial"/>
        <family val="0"/>
        <charset val="1"/>
      </rPr>
      <t xml:space="preserve">evaluation_and_outcomes.reported_limitations
</t>
    </r>
    <r>
      <rPr>
        <i val="true"/>
        <sz val="8"/>
        <color rgb="FF595959"/>
        <rFont val="Arial"/>
        <family val="0"/>
        <charset val="1"/>
      </rPr>
      <t xml:space="preserve">
Type: list[str]
1-3 sentence paraphrase of author-stated limitations. Empty list if none are stated (= NR).</t>
    </r>
  </si>
  <si>
    <t xml:space="preserve">Text differs (similarity 19%)</t>
  </si>
  <si>
    <t xml:space="preserve">The tested cases were relatively simple (a serial line and a line with one parallel station), so generalizability to complex systems with multiple variants and interdependent flows remains unvalidated.; Output consistency and reproducibility are limited: model generation was error-prone, especially structural split/merge errors in Case B, and required human checks and manual corrections.; Whether the approach reduces overall modeling time was not assessed, and there was no comparison against manual modeling or established ASMG approaches.; Multi-agent configurations and hyperparameter sensitivity (e.g., temperature) were not systematically evaluated; default API parameters were used.; Generating C++/XML code for commercial tools such as FACTS Analyzer performed poorly in early experiments, likely due to training-data bias toward Python.; Input data ingestion was partly manual (buffer capacities, process logic), and the CPDs and Case B data were fictitious or simplified mock-ups.</t>
  </si>
  <si>
    <t xml:space="preserve">Output consistency and generalizability to more complex manufacturing systems remain challenges.; The cases tested were relatively simple (sequential or simple parallel), and generalizability to complex part flows and multiple variants is unvalidated.; Certain input data (buffer capacities, process logic) had to be added manually, limiting full automation of data ingestion.</t>
  </si>
  <si>
    <t xml:space="preserve">Drawn from Sec. 6.4 (Limitations and future research), the Conclusion, and Sec. 4.2 for the mock-up and fictitious data.</t>
  </si>
  <si>
    <t xml:space="preserve">Section 6.4 ('Limitations and future research') explicitly states: 'the generalizability of the proposed approach to more complex production scenarios remains to be validated', 'certain information... had to be added manually', and 'limitations in output consistency were observed'. The Abstract also mentions 'current limitations of LLM-driven simulation, particularly regarding output consistency and generalizability.'</t>
  </si>
  <si>
    <t xml:space="preserve">The tested cases were relatively simple (a serial line and a line with one parallel station), so generalizability to complex systems with multiple variants and interdependent flows remains unvalidated.; Output consistency and reproducibility are limited: model generation was error-prone, especially structural split/merge errors in Case B, and required human checks and manual corrections.; Whether the approach reduces overall modeling time was not assessed, and there was no comparison against manual modeling or established ASMG approaches.; Multi-agent configurations and hyperparameter sensitivity (e.g., temperature) were not systematically evaluated; default API parameters were used.; Generating C++/XML code for commercial tools such as FACTS Analyzer performed poorly in early experiments, likely due to training-data bias toward Python.; Input data ingestion was partly manual (buffer capacities, process logic), and the CPDs and Case B data were fictitious or simplified mock-ups.; Output consistency and generalizability to more complex manufacturing systems remain challenges.; The cases tested were relatively simple (sequential or simple parallel), and generalizability to complex part flows and multiple variants is unvalidated.; Certain input data (buffer capacities, process logic) had to be added manually, limiting full automation of data ingestion.</t>
  </si>
  <si>
    <t xml:space="preserve">different limitation items → union kept for Tier-3 thematic coding</t>
  </si>
  <si>
    <t xml:space="preserve">D017</t>
  </si>
  <si>
    <r>
      <rPr>
        <b val="true"/>
        <sz val="10"/>
        <rFont val="Arial"/>
        <family val="0"/>
        <charset val="1"/>
      </rPr>
      <t xml:space="preserve">evaluation_and_outcomes.outcome_summary
</t>
    </r>
    <r>
      <rPr>
        <i val="true"/>
        <sz val="8"/>
        <color rgb="FF595959"/>
        <rFont val="Arial"/>
        <family val="0"/>
        <charset val="1"/>
      </rPr>
      <t xml:space="preserve">
Type: str | None
Free-text narrative summary of the main results beyond isolated metrics, as reported.</t>
    </r>
  </si>
  <si>
    <t xml:space="preserve">Across 21 runs on two industrial cases, the LLM workflow (GPT-5.1 builder/inspector, GPT-5-mini adaptor/visualizer/CPD/evaluator, GPT-4o bottleneck agent, with a SimPy blueprint for one-shot generation) generated executable DES models. It also proposed and implemented bottleneck-based adaptations, flagged CPD violations, and produced trade-off evaluations. Model generation was the weakest stage: 80% correct for Case A and 64% for Case B, with one crash and five manual corrections, mostly structural errors in parallel routing. Adaptation (92-97%) and evaluation (100%) were reliable. Validation against manually built FACTS Analyzer models showed deviations within the 5-10% threshold: about 4% for Case A and below 1% for Case B. Costs were about $0.13-0.16 per run and run times about 10-20 minutes. The authors conclude that the hybrid human-in-the-loop approach is feasible but limited by consistency and generalizability.</t>
  </si>
  <si>
    <t xml:space="preserve">The LLM-driven workflow successfully generated, adapted, and evaluated discrete-event simulation models for two manufacturing cases. The generated models showed high accuracy compared to commercial simulation software (deviations &lt;10%, mostly &lt;5%). The workflow demonstrated the ability to identify bottlenecks, propose improvements, check constraints, and evaluate trade-offs. However, errors occurred in model generation (especially for complex parallel structures) requiring human correction, and output consistency varied across runs.</t>
  </si>
  <si>
    <t xml:space="preserve">D018</t>
  </si>
  <si>
    <r>
      <rPr>
        <b val="true"/>
        <sz val="10"/>
        <rFont val="Arial"/>
        <family val="0"/>
        <charset val="1"/>
      </rPr>
      <t xml:space="preserve">gap_indicators.hitl_description
</t>
    </r>
    <r>
      <rPr>
        <i val="true"/>
        <sz val="8"/>
        <color rgb="FF595959"/>
        <rFont val="Arial"/>
        <family val="0"/>
        <charset val="1"/>
      </rPr>
      <t xml:space="preserve">
Type: str | None
Free-text elaboration of how the HITL pattern operates in the system, as reported.</t>
    </r>
  </si>
  <si>
    <t xml:space="preserve">Text differs (similarity 21%)</t>
  </si>
  <si>
    <t xml:space="preserve">There are three human checkpoints.
(1) Mandatory inspection and repair of the LLM-generated baseline SimPy model after the inspector-agent's check and before execution.
(2) An optional step in which the operator adds an extra improvement suggestion via terminal text input, alongside the bottleneck-agent's suggestions. The operator also reviews the CPD-agent's warnings and the context-specific constraints that the LLM cannot see, such as layout, space and cost.
(3) A mandatory check of the evaluator-agent's interpretation of the results, to catch hallucinations before decision support is given.</t>
  </si>
  <si>
    <t xml:space="preserve">The framework integrates human oversight at three key stages: (1) Mandatory inspection and repair of the generated initial simulation model; (2) Optional addition of manual improvement suggestions to the list generated by the LLM; (3) Mandatory verification of the final evaluation results and trade-offs before decision support.</t>
  </si>
  <si>
    <t xml:space="preserve">There are three human checkpoints.(1) Mandatory inspection and repair of the LLM-generated baseline SimPy model after the inspector-agent's check and before execution.(2) An optional step in which the operator adds an extra improvement suggestion via terminal text input, alongside the bottleneck-agent's suggestions. The operator also reviews the CPD-agent's warnings and the context-specific constraints that the LLM cannot see, such as layout, space and cost.(3) A mandatory check of the evaluator-agent's interpretation of the results, to catch hallucinations before decision support is given.</t>
  </si>
  <si>
    <t xml:space="preserve">D019</t>
  </si>
  <si>
    <r>
      <rPr>
        <b val="true"/>
        <sz val="10"/>
        <rFont val="Arial"/>
        <family val="0"/>
        <charset val="1"/>
      </rPr>
      <t xml:space="preserve">gap_indicators.domain_knowledge_type
</t>
    </r>
    <r>
      <rPr>
        <i val="true"/>
        <sz val="8"/>
        <color rgb="FF595959"/>
        <rFont val="Arial"/>
        <family val="0"/>
        <charset val="1"/>
      </rPr>
      <t xml:space="preserve">
Type: Annotated[list[DomainKnowledgeType], AfterValidator(func=&lt;function &lt;lambda&gt; at 0x7ff41b44c670&gt;)] | None
All types of domain knowledge formalization present, required if domain_knowledge_formalization_present is true.
 Types: - ontology: Formal ontology: classes, relations and axioms of the domain (e.g., OWL), schema level
- knowledge-graph: Knowledge graph: domain instances and their relations stored as a graph
- standards-encoding: Machine-readable encoding of domain standards (e.g., VDI 5200, ISA-95, ISO 22400)
- structured-schema: Non-graph metamodel or schema (e.g., JSON Schema, UML) for domain entities and constraints
- relational-database: Relational database or taxonomy of domain entities and attributes
- code-template: Code or model template encoding domain structure (e.g., simulation blueprint)
- mathematical-model: Optimization or simulation model encoding domain structure and rules
- other: Other domain knowledge formalization (specify)</t>
    </r>
  </si>
  <si>
    <t xml:space="preserve">Only R1: mathematical-model</t>
  </si>
  <si>
    <t xml:space="preserve">code-template; mathematical-model</t>
  </si>
  <si>
    <t xml:space="preserve">code-template</t>
  </si>
  <si>
    <t xml:space="preserve">code-template: the SimPy blueprint template is adapted by the builder-agent (Sec. 5.1, Appendix A).
mathematical-model: DES models encoding machine performance, buffers and schedules are executed to compute TH, WIP and SEC (Sec. 4.3.2). This tag is less certain (?), since the model is itself the output generated from the template.</t>
  </si>
  <si>
    <t xml:space="preserve">The primary formalization is the 'blueprint model' described in Section 5.1 and Appendix A. It is a Python code template using SimPy that defines the structure of machines, buffers, and logic. This fits the definition of 'code-template: Code or model template encoding domain structure (e.g., simulation blueprint)'. While CPDs are mentioned, they are provided as text instructions rather than a formal ontology or KG.</t>
  </si>
  <si>
    <t xml:space="preserve">D020</t>
  </si>
  <si>
    <r>
      <rPr>
        <b val="true"/>
        <sz val="10"/>
        <rFont val="Arial"/>
        <family val="0"/>
        <charset val="1"/>
      </rPr>
      <t xml:space="preserve">gap_indicators.domain_knowledge_description
</t>
    </r>
    <r>
      <rPr>
        <i val="true"/>
        <sz val="8"/>
        <color rgb="FF595959"/>
        <rFont val="Arial"/>
        <family val="0"/>
        <charset val="1"/>
      </rPr>
      <t xml:space="preserve">
Type: str | None
Free-text elaboration of what domain knowledge is formalized and how, as reported.</t>
    </r>
  </si>
  <si>
    <t xml:space="preserve">The generic SimPy blueprint contains functions for:
- production schedules
- merger and splitter processes at parallel stations
- part generation and movement
- DelayBuffer and Machine classes with availability, MTTR, power ratings and defect rates
- exponential failure distributions
- KPI calculation
It serves as a one-shot example. Structured parameter tables derived from MES event logs, with part flow obtained via PM4Py process mining, are also inserted into the prompts.</t>
  </si>
  <si>
    <t xml:space="preserve">The system uses a Python-based 'blueprint model' (SimPy code) that serves as a one-shot example for the LLM. This template encodes the standard structure for discrete-event simulation in manufacturing, including machine classes, buffer definitions, part generation logic, and KPI calculation methods. It ensures the generated code follows a consistent, executable pattern.</t>
  </si>
  <si>
    <t xml:space="preserve">The generic SimPy blueprint contains functions for:- production schedules- merger and splitter processes at parallel stations- part generation and movement- DelayBuffer and Machine classes with availability, MTTR, power ratings and defect rates- exponential failure distributions- KPI calculationIt serves as a one-shot example. Structured parameter tables derived from MES event logs, with part flow obtained via PM4Py process mining, are also inserted into the prompts.</t>
  </si>
  <si>
    <t xml:space="preserve">description follows consensus type (= R1) (D019)</t>
  </si>
  <si>
    <t xml:space="preserve">D021</t>
  </si>
  <si>
    <r>
      <rPr>
        <b val="true"/>
        <sz val="10"/>
        <rFont val="Arial"/>
        <family val="0"/>
        <charset val="1"/>
      </rPr>
      <t xml:space="preserve">gap_indicators.evaluation_framework_type
</t>
    </r>
    <r>
      <rPr>
        <i val="true"/>
        <sz val="8"/>
        <color rgb="FF595959"/>
        <rFont val="Arial"/>
        <family val="0"/>
        <charset val="1"/>
      </rPr>
      <t xml:space="preserve">
Type: Annotated[list[EvaluationFrameworkType], AfterValidator(func=&lt;function &lt;lambda&gt; at 0x7ff41b44c670&gt;)] | None
All framework elements used, required if evaluation_framework_used is true. Code both the test instrument (benchmark, custom test set, expert ground truth) and the scoring (rubric, domain-specific metric).
 Types: - benchmark: Public, standardised benchmark reused from prior work
- custom-test-set: Test items or cases built by the authors for this paper
- expert-ground-truth: Outputs compared with expert or practitioner decisions
- rubric: Graded scoring scale or criteria (incl. Likert ratings, ordinal suitability levels)
- domain-specific-metric: Metric defined by the planning domain (e.g., throughput, space utilisation, cost); not generic accuracy/F1
- other: Other evaluation framework (specify)</t>
    </r>
  </si>
  <si>
    <t xml:space="preserve">Only R1: custom-test-set</t>
  </si>
  <si>
    <t xml:space="preserve">custom-test-set; expert-ground-truth; domain-specific-metric</t>
  </si>
  <si>
    <t xml:space="preserve">expert-ground-truth; domain-specific-metric</t>
  </si>
  <si>
    <t xml:space="preserve">custom-test-set: two industrial case studies were built by the authors and run repeatedly.
expert-ground-truth: LLM-generated models are compared with expert-built FACTS Analyzer reference models, and the workflow was validated with a company simulation expert (Sec. 4.4).
domain-specific-metric: throughput, WIP and SEC deviations are used as metrics (Tables 8 and 9).</t>
  </si>
  <si>
    <t xml:space="preserve">1. 'expert-ground-truth': Section 5.6 states: 'Validation included the comparison of the results of the generated models against equivalent models built in FACTS Analyzer simulation software.' These manually built models serve as the ground truth. 2. 'domain-specific-metric': The evaluation uses manufacturing-specific KPIs: 'Throughput (TH)', 'Work-in-process (WIP)', and 'Specific Energy Consumption (SEC)' (Section 4.2).</t>
  </si>
  <si>
    <t xml:space="preserve">D022</t>
  </si>
  <si>
    <r>
      <rPr>
        <b val="true"/>
        <sz val="10"/>
        <rFont val="Arial"/>
        <family val="0"/>
        <charset val="1"/>
      </rPr>
      <t xml:space="preserve">gap_indicators.evaluation_framework_description
</t>
    </r>
    <r>
      <rPr>
        <i val="true"/>
        <sz val="8"/>
        <color rgb="FF595959"/>
        <rFont val="Arial"/>
        <family val="0"/>
        <charset val="1"/>
      </rPr>
      <t xml:space="preserve">
Type: str | None
Free-text elaboration of the evaluation framework and its application, as reported.</t>
    </r>
  </si>
  <si>
    <t xml:space="preserve">Ten runs were performed for Case A (4-station serial machining line) and eleven for Case B (7-station assembly line with parallel presses). For each run, the authors recorded:
- model generation success, manual correction or failure, and the error type (structural, parametric, scheduling)
- correctness of BT suggestions and CPD flagging
- success of the adaptations
- correctness of the evaluator interpretation
Accuracy per stage is summarized in Fig. 18: generation 80% and 64%, adaptation 92% and 97%, evaluation 100% for Case A and Case B respectively. Tokens, cost and execution time were also reported.
Input-output validation compared the first run of each case with FACTS Analyzer models. Deviations were within 10%: about -4% TH and about 4% WIP for Case A, and under 1% for Case B.</t>
  </si>
  <si>
    <t xml:space="preserve">The evaluation involves running the LLM-generated simulation models and comparing their Key Performance Indicators (Throughput, WIP, SEC) against manually built models in commercial software (FACTS Analyzer). The comparison uses means and 95% confidence intervals over multiple replications. A model is considered valid if deviations are within a 5-10% threshold and no systematic bias is detected. Additionally, code correctness and LLM accuracy (hallucinations, logic errors) are tracked across 21 experimental runs.</t>
  </si>
  <si>
    <t xml:space="preserve">Ten runs were performed for Case A (4-station serial machining line) and eleven for Case B (7-station assembly line with parallel presses). For each run, the authors recorded:- model generation success, manual correction or failure, and the error type (structural, parametric, scheduling)- correctness of BT suggestions and CPD flagging- success of the adaptations- correctness of the evaluator interpretationAccuracy per stage is summarized in Fig. 18: generation 80% and 64%, adaptation 92% and 97%, evaluation 100% for Case A and Case B respectively. Tokens, cost and execution time were also reported.Input-output validation compared the first run of each case with FACTS Analyzer models. Deviations were within 10%: about -4% TH and about 4% WIP for Case A, and under 1% for Case B.</t>
  </si>
  <si>
    <t xml:space="preserve">description follows consensus type (= R1) (D021)</t>
  </si>
  <si>
    <t xml:space="preserve">D023</t>
  </si>
  <si>
    <r>
      <rPr>
        <b val="true"/>
        <sz val="10"/>
        <rFont val="Arial"/>
        <family val="0"/>
        <charset val="1"/>
      </rPr>
      <t xml:space="preserve">quality_appraisal.q4_positioning_against_prior_work
</t>
    </r>
    <r>
      <rPr>
        <i val="true"/>
        <sz val="8"/>
        <color rgb="FF595959"/>
        <rFont val="Arial"/>
        <family val="0"/>
        <charset val="1"/>
      </rPr>
      <t xml:space="preserve">
Type: AppraisalAnswer
Q4: Is the contribution compared against existing solutions with explicit differentiation?
 Types: - Yes: Criterion fully met
- Partially: Criterion partly met
- No: Criterion not met</t>
    </r>
  </si>
  <si>
    <t xml:space="preserve">Only R1: Partially | Only R2: Yes</t>
  </si>
  <si>
    <t xml:space="preserve">Partially</t>
  </si>
  <si>
    <t xml:space="preserve">Yes</t>
  </si>
  <si>
    <t xml:space="preserve">Sec. 3 reviews ASMG approaches and LLM-simulation work (Jackson et al., Obinwanne &amp; Feng, Dengler et al., Giabbanelli et al.). It differentiates the contribution as the first end-to-end workflow with structured data inputs (Sec. 6: 'no studies have demonstrated and validated a complete end-to-end workflow'). However, there is no empirical comparison against existing ASMG or LLM approaches, which the authors themselves list as future work.</t>
  </si>
  <si>
    <t xml:space="preserve">Section 3 (Related Works) reviews prior work on simulation automation and LLMs in manufacturing. It specifically cites studies like Jackson et al. [4] and Obinwanne and Feng [35] that demonstrated LLMs for simple DES generation, and explicitly states that this study addresses the gap by presenting a 'complete end-to-end workflow spanning model generation, adaptation, and evaluation' which prior studies had not demonstrated and validated. Section 6.1 further contrasts this work with earlier proof-of-concepts.</t>
  </si>
  <si>
    <t xml:space="preserve">D024</t>
  </si>
  <si>
    <r>
      <rPr>
        <b val="true"/>
        <sz val="10"/>
        <rFont val="Arial"/>
        <family val="0"/>
        <charset val="1"/>
      </rPr>
      <t xml:space="preserve">quality_appraisal.prompts_disclosed
</t>
    </r>
    <r>
      <rPr>
        <i val="true"/>
        <sz val="8"/>
        <color rgb="FF595959"/>
        <rFont val="Arial"/>
        <family val="0"/>
        <charset val="1"/>
      </rPr>
      <t xml:space="preserve">
Type: PromptDisclosure
How completely the prompts are disclosed.
 Types: - full: All prompts/templates given verbatim (in paper, appendix or repository)
- partial: Some prompts, excerpts or a paraphrase of the prompt structure
- none: Prompts not disclosed</t>
    </r>
  </si>
  <si>
    <t xml:space="preserve">Only R1: full | Only R2: partial</t>
  </si>
  <si>
    <t xml:space="preserve">full</t>
  </si>
  <si>
    <t xml:space="preserve">partial</t>
  </si>
  <si>
    <t xml:space="preserve">Model version: the paper names GPT-4o, GPT-5-mini and GPT-5.1 but gives no snapshot or date identifiers, so not reported. Prompts: builder and adaptor prompts appear verbatim in Appendix B, and the paper states that all prompts and LLM calls are in the GitHub repo (github.com/thomasschmitt1993/LLM-DES-Modeling), so 'full'. Decoding parameters: Fig. 2 states 'All LLMs were executed using their default API parameters' with no explicit temperature, top_p or seed values, so false. Code: available on GitHub. Data: only Case B mock-up data is shared ('input data for Case B is available'); Case A industrial data is not, so false (partially available). Run date: only 'At the time of the experiments, GPT-5.1 was the best-performing' is given, with no explicit date or period.</t>
  </si>
  <si>
    <t xml:space="preserve">Model versions: The paper specifies 'GPT-4o', 'GPT-5-mini', and 'GPT-5.1' but does not provide specific snapshot dates or version hashes (e.g., 'gpt-4o-2024-08-06'), so model_version_reported is false. Prompts: Appendix B provides examples of prompts for the builder and adaptor agents, but not all prompts for every agent (e.g., inspector, evaluator, CPD) are fully disclosed verbatim, so prompts_disclosed is 'partial'. Decoding params: The paper states 'All LLMs were executed using their default API parameters' (Section 4.3, Fig 2 caption) but does not list the specific values for temperature, top-p, etc., so decoding_params_reported is false. Code: A GitHub link is provided (https://github.com/thomasschmitt1993/LLM-DES-Modeling) and stated as available, so code_available is true. Data: The paper states 'input data for Case B is available at Github' (Section 4) and mentions sharing Case B-related data, so data_available is true. Run date: The paper does not specify the exact dates when the LLMs were queried, only that GPT-5.1 was the 'best-performing... at the time of the experiments', so run_date_reported is false.</t>
  </si>
  <si>
    <t xml:space="preserve">D025</t>
  </si>
  <si>
    <r>
      <rPr>
        <b val="true"/>
        <sz val="10"/>
        <rFont val="Arial"/>
        <family val="0"/>
        <charset val="1"/>
      </rPr>
      <t xml:space="preserve">quality_appraisal.data_available
</t>
    </r>
    <r>
      <rPr>
        <i val="true"/>
        <sz val="8"/>
        <color rgb="FF595959"/>
        <rFont val="Arial"/>
        <family val="0"/>
        <charset val="1"/>
      </rPr>
      <t xml:space="preserve">
Type: bool
True if the evaluation data/test cases are publicly available.</t>
    </r>
  </si>
  <si>
    <t xml:space="preserve">requires adaptation to field definition: full, partially and none</t>
  </si>
  <si>
    <t xml:space="preserve">v0.10.0: ordinal (D025); Case B input data on GitHub, Case A industrial data not shared</t>
  </si>
  <si>
    <t xml:space="preserve">D026</t>
  </si>
  <si>
    <r>
      <rPr>
        <b val="true"/>
        <sz val="10"/>
        <rFont val="Arial"/>
        <family val="0"/>
        <charset val="1"/>
      </rPr>
      <t xml:space="preserve">bibliographic_metadata.funding_source
</t>
    </r>
    <r>
      <rPr>
        <i val="true"/>
        <sz val="8"/>
        <color rgb="FF595959"/>
        <rFont val="Arial"/>
        <family val="0"/>
        <charset val="1"/>
      </rPr>
      <t xml:space="preserve">
Type: str
Funding source as reported. NR if absent.</t>
    </r>
  </si>
  <si>
    <t xml:space="preserve">Text differs (similarity 79%)</t>
  </si>
  <si>
    <t xml:space="preserve">AIR@InnoHK research cluster of the Innovation and Technology Commission (ITC) of the HKSAR Government</t>
  </si>
  <si>
    <t xml:space="preserve">Innovation and Technology Commission (ITC) of the HKSAR Government</t>
  </si>
  <si>
    <t xml:space="preserve">R1 more complete (full names / grant numbers)</t>
  </si>
  <si>
    <t xml:space="preserve">D027</t>
  </si>
  <si>
    <r>
      <rPr>
        <b val="true"/>
        <sz val="10"/>
        <rFont val="Arial"/>
        <family val="0"/>
        <charset val="1"/>
      </rPr>
      <t xml:space="preserve">bibliographic_metadata.funding_description
</t>
    </r>
    <r>
      <rPr>
        <i val="true"/>
        <sz val="8"/>
        <color rgb="FF595959"/>
        <rFont val="Arial"/>
        <family val="0"/>
        <charset val="1"/>
      </rPr>
      <t xml:space="preserve">
Type: str | None
Free-text elaboration of funding context: grant numbers, funder role, or statement of no funding, as reported.</t>
    </r>
  </si>
  <si>
    <t xml:space="preserve">Text differs (similarity 77%)</t>
  </si>
  <si>
    <t xml:space="preserve">Research funded by the AIR@InnoHK research cluster of the Innovation and Technology Commission (ITC) of the HKSAR Government, within the scope of the research project '1-5 Ramp-Up Time Reduction by Learning from Past Process Cycles'.</t>
  </si>
  <si>
    <t xml:space="preserve">Our research is funded by AIR@InnoHK research cluster of the Innovation and Technology Commission (ITC) of the HKSAR Government. The results presented in this paper within the scope of the research project '1-5 Ramp-Up Time Reduction by Learning from Past Process Cycles' has come to a successful completion because of the support from ITC.</t>
  </si>
  <si>
    <t xml:space="preserve">D028</t>
  </si>
  <si>
    <t xml:space="preserve">Text differs (similarity 29%)</t>
  </si>
  <si>
    <t xml:space="preserve">Manufacturing (plastic products manufacturer; automation/assembly equipment)</t>
  </si>
  <si>
    <t xml:space="preserve">Manufacturing</t>
  </si>
  <si>
    <t xml:space="preserve">Section 3 describes the partner as 'an international manufacturer of plastic products with about 850 employees, operating six factories across three continents.' The broader domain is manufacturing automation and ramp-up (Abstract, Section 1).</t>
  </si>
  <si>
    <t xml:space="preserve">The paper explicitly focuses on 'manufacturing equipment selection' (Title, Abstract). The industrial partner is described in Section 3 as 'an international manufacturer of plastic products'.</t>
  </si>
  <si>
    <t xml:space="preserve">R1 = R2 plus sub-sector detail</t>
  </si>
  <si>
    <t xml:space="preserve">D029</t>
  </si>
  <si>
    <t xml:space="preserve">Text differs (similarity 31%)</t>
  </si>
  <si>
    <t xml:space="preserve">Automation equipment selection (robots, feeders, vision systems) during production ramp-up planning for new products at an industrial plastic products manufacturer</t>
  </si>
  <si>
    <t xml:space="preserve">Automation Equipment Selection</t>
  </si>
  <si>
    <t xml:space="preserve">Section 3 states: 'Two automation engineers tested the system on three ramp-up planning use-cases: two for products in Europe and one in China... used to derive automation components for robots, feeders, and vision applications within the design process.' Table 1 gives examples such as pre-feeding of bushings, movement to cleaning and inspection, and visual inspection.</t>
  </si>
  <si>
    <t xml:space="preserve">Section 3 describes the case study as testing the system on 'ramp-up planning use-cases' to 'derive automation components for robots, feeders, and vision applications'. The abstract confirms the focus on 'streamlining equipment selection in ramp-up planning'.</t>
  </si>
  <si>
    <t xml:space="preserve">D030</t>
  </si>
  <si>
    <r>
      <rPr>
        <b val="true"/>
        <sz val="10"/>
        <rFont val="Arial"/>
        <family val="0"/>
        <charset val="1"/>
      </rPr>
      <t xml:space="preserve">study_characterization.stated_research_questions
</t>
    </r>
    <r>
      <rPr>
        <i val="true"/>
        <sz val="8"/>
        <color rgb="FF595959"/>
        <rFont val="Arial"/>
        <family val="0"/>
        <charset val="1"/>
      </rPr>
      <t xml:space="preserve">
Type: str
Verbatim or close paraphrase of the paper's RQs. NR if none stated.</t>
    </r>
  </si>
  <si>
    <t xml:space="preserve">Text differs (similarity 56%)</t>
  </si>
  <si>
    <t xml:space="preserve">This research investigates whether large-language models (LLMs), combined with Retrieval-Augmented Generation (RAG), can assist in streamlining equipment selection in ramp-up planning; i.e., whether factual-driven RAG-LLMs combined with a state-machine architecture can fulfill the requirements of the equipment selection process and guide automation equipment design effectively.</t>
  </si>
  <si>
    <t xml:space="preserve">Can large-language models (LLMs), combined with Retrieval-Augmented Generation (RAG), assist in streamlining equipment selection in ramp-up planning?</t>
  </si>
  <si>
    <t xml:space="preserve">No formally numbered RQs are given. The research aim is stated in the Abstract ('This research investigates whether...') and in Section 1 ('This article explores whether these recent advancements in factual-driven RAG-LLMs, combined with a state-machine architecture, can fulfill the requirements...'). These statements are presented here as a close paraphrase of an implicit RQ.</t>
  </si>
  <si>
    <t xml:space="preserve">The Abstract states: 'This research investigates whether large-language models (LLMs), combined with Retrieval-Augmented Generation (RAG), can assist in streamlining equipment selection in ramp-up planning.' Section 1 reiterates: 'This article explores whether these recent advancements in factual-driven RAG-LLMs, combined with a state-machine architecture, can fulfill the requirements of the equipment selection process...'</t>
  </si>
  <si>
    <t xml:space="preserve">R1 verbatim, R2 paraphrase; schema allows both</t>
  </si>
  <si>
    <t xml:space="preserve">D031</t>
  </si>
  <si>
    <r>
      <rPr>
        <b val="true"/>
        <sz val="10"/>
        <rFont val="Arial"/>
        <family val="0"/>
        <charset val="1"/>
      </rPr>
      <t xml:space="preserve">strategic_planning_scope.subdomain
</t>
    </r>
    <r>
      <rPr>
        <i val="true"/>
        <sz val="8"/>
        <color rgb="FF595959"/>
        <rFont val="Arial"/>
        <family val="0"/>
        <charset val="1"/>
      </rPr>
      <t xml:space="preserve">
Type: list[SubdomainType]
Strategic planning subdomain(s) addressed. If not stated explicitly, map by task description using Appendix A.
 Types: - factory-planning: Factory planning per VDI 5200
- SC-network-design: Supply chain network design
- logistics-distribution-network-design: Strategic logistics and distribution network design
- technology-selection: Technology selection and investment appraisal
- site-selection: Site selection and facility location
- GPN-design: Global production network design</t>
    </r>
  </si>
  <si>
    <t xml:space="preserve">Only R1: factory-planning</t>
  </si>
  <si>
    <t xml:space="preserve">technology-selection; factory-planning</t>
  </si>
  <si>
    <t xml:space="preserve">technology-selection</t>
  </si>
  <si>
    <t xml:space="preserve">The paper's core task is selecting automation equipment (robots, feeders, vision systems) for assembly lines during ramp-up planning (Abstract; Sec. 2). This maps most directly to technology-selection (choosing equipment and technology types and models). Factory-planning is added because the work is framed within production line design and ramp-up planning, i.e., equipment choice in the line design stage (Sec. 1: 'Automation design, especially equipment selection... The ramp-up phase relies on an effective design stage'). This is a boundary case: the scope is line or cell-level equipment selection rather than whole-factory planning, so factory-planning is marked with '?'. Investment appraisal is not performed.</t>
  </si>
  <si>
    <t xml:space="preserve">The paper explicitly focuses on 'automation equipment selection' (Abstract, Section 1). The system selects specific robots, feeders, and vision systems based on requirements. This aligns with 'technology-selection' (Technology selection and investment appraisal) as it involves choosing specific technical components for a production line. It is not 'factory-planning' in the broad VDI 5200 sense of layout or process design, but rather the selection of the equipment itself. Section 2 states: 'This research investigates whether large-language models (LLMs)... can assist in streamlining equipment selection'.</t>
  </si>
  <si>
    <t xml:space="preserve">D032</t>
  </si>
  <si>
    <r>
      <rPr>
        <b val="true"/>
        <sz val="10"/>
        <rFont val="Arial"/>
        <family val="0"/>
        <charset val="1"/>
      </rPr>
      <t xml:space="preserve">strategic_planning_scope.planning_task_type
</t>
    </r>
    <r>
      <rPr>
        <i val="true"/>
        <sz val="8"/>
        <color rgb="FF595959"/>
        <rFont val="Arial"/>
        <family val="0"/>
        <charset val="1"/>
      </rPr>
      <t xml:space="preserve">
Type: list[PlanningTaskType]
Specific planning task(s) the paper's method performs, pick all applicable. Add 'other' next to listed values only if a core task of the method is not covered by them; do not add it for side aspects. Each task's subdomain (Appendix A) should appear in subdomain.
 Types: - requirements-elicitation: Elicitation of planning requirements
- Lastenheft-generation: Generation of requirements specification (Lastenheft)
- factory-layout-planning: Factory or facility layout planning
- capacity-dimensioning: Dimensioning of resources/capacity within one site (machines, staff, area)
- material-flow-design: Material flow design and optimization
- production-system-concept-design: Concept design of the production system or line (organisation form, process chain, automation level)
- warehouse-intralogistics-system-design: Design of warehouse or intralogistics systems (storage, picking, conveying technology)
- simulation-modeling: Simulation modeling for planning
- SC-network-configuration: Multi-echelon supply chain network configuration across suppliers, plants and distribution
- logistics-distribution-network-planning: Design of the downstream logistics/distribution network (warehouses, hubs, transport links)
- reverse-circular-network-design: Design of reverse-logistics, remanufacturing or circular-economy networks
- supplier-sourcing-network-strategy: Supplier selection and sourcing-network strategy (single/multi-sourcing, supplier base)
- facility-location: Facility location / site selection
- capacity-strategy-footprint: Capacity strategy and production footprint across sites (how much capacity where)
- GPN-configuration: Global production network configuration
- make-or-buy: Make-or-buy decision
- technology-scouting: Technology scouting and identification
- investment-appraisal: Investment appraisal and evaluation
- resilience-risk-scenario-planning: Resilience and risk scenario planning for network or system configuration
- norm-compliance: Norm and standards compliance checking
- tender-evaluation: Tender and bid evaluation
- other: Other planning task not covered by standard categories (specify)</t>
    </r>
  </si>
  <si>
    <t xml:space="preserve">Only R1: other; production-system-concept-design | Only R2: technology-scouting</t>
  </si>
  <si>
    <t xml:space="preserve">other; production-system-concept-design</t>
  </si>
  <si>
    <t xml:space="preserve">technology-scouting</t>
  </si>
  <si>
    <t xml:space="preserve">Sec. 2 describes the workflow: analyse inputs -&gt; select elementary operation -&gt; select equipment type -&gt; select specific equipment -&gt; evaluate selection. This is equipment or technology selection, which none of the listed categories fully covers, so 'other' is selected. Production-system-concept-design is added tentatively ('?') because choosing the automation equipment and its type is part of line or automation concept design. Technology-scouting is not selected because the system selects from a predefined catalog rather than scouting. Requirements are provided by the user rather than elicited, although the system can request additional information after an unsuitable selection.</t>
  </si>
  <si>
    <t xml:space="preserve">The core task is identifying and selecting specific equipment types (robots, feeders, vision) from a catalog based on requirements. This fits 'technology-scouting' (Technology scouting and identification) or potentially 'investment-appraisal' if it included cost/benefit, but the paper emphasizes 'selection' and 'recommendations' of specific models (e.g., 'bowl feeder ZSB-N 250-30-110 by RNA'). 'technology-scouting' is the best fit for identifying the right technology/equipment. It is not 'factory-layout-planning' as the paper explicitly states in Section 3: 'it does not support layout design'.</t>
  </si>
  <si>
    <t xml:space="preserve">D033</t>
  </si>
  <si>
    <r>
      <rPr>
        <b val="true"/>
        <sz val="10"/>
        <rFont val="Arial"/>
        <family val="0"/>
        <charset val="1"/>
      </rPr>
      <t xml:space="preserve">strategic_planning_scope.other_planning_task_specification
</t>
    </r>
    <r>
      <rPr>
        <i val="true"/>
        <sz val="8"/>
        <color rgb="FF595959"/>
        <rFont val="Arial"/>
        <family val="0"/>
        <charset val="1"/>
      </rPr>
      <t xml:space="preserve">
Type: str | None
Free-text specification of the planning task. Required if 'other' was selected, otherwise null.</t>
    </r>
  </si>
  <si>
    <t xml:space="preserve">Filled only by R1</t>
  </si>
  <si>
    <t xml:space="preserve">Automation equipment selection: choosing the elementary operation, equipment type (e.g., SCARA robot, vibratory bowl feeder, area-scan camera) and specific supplier model for assembly processes from requirements, using a RAG-LLM copilot.</t>
  </si>
  <si>
    <t xml:space="preserve">'other' kept in planning_task_type → specification required; only R1 filled (D032)</t>
  </si>
  <si>
    <t xml:space="preserve">D034</t>
  </si>
  <si>
    <t xml:space="preserve">Only R1: 4-detailed-planning; 7-ramp-up-support</t>
  </si>
  <si>
    <t xml:space="preserve">4-detailed-planning; 7-ramp-up-support</t>
  </si>
  <si>
    <t xml:space="preserve">Selecting specific equipment models (e.g., 'bowl feeder ZSB-N 250-30-110 by RNA') corresponds to detailed planning of equipment. The authors frame the work as 'equipment selection in ramp-up planning' and 'ramp-up time reduction', which suggests 7-ramp-up-support. However, they state the copilot 'does not incorporate the ramp-up implementation phase' (Sec. 3) and that it is used 'within the design process'. The ramp-up label therefore reflects the authors' framing of new product integration and is uncertain ('?'). Concept planning could also apply to equipment type selection.</t>
  </si>
  <si>
    <t xml:space="preserve">The subdomain is classified as 'technology-selection', not 'factory-planning'. According to the schema constraint, 'vdi5200_phase' must be 'NA' if 'factory-planning' is not in the subdomain. Although the paper discusses ramp-up planning which is related to VDI 5200 Phase 7, the primary focus is on the selection of specific equipment components (technology selection) rather than the holistic factory planning process defined by VDI 5200.</t>
  </si>
  <si>
    <t xml:space="preserve">because factory planning was chosen as the subdomain prior, only R1 asnwer applies</t>
  </si>
  <si>
    <t xml:space="preserve">D035</t>
  </si>
  <si>
    <t xml:space="preserve">No claim found. The authors refer to 'ramp-up planning' and the 'design stage', but never claim a strategic, tactical or operational tier.</t>
  </si>
  <si>
    <t xml:space="preserve">The authors frame the work as supporting 'ramp-up planning' and 'automation design' (Section 1). While they don't use the word 'strategic', the selection of equipment for a production line is a high-level design decision. The schema maps system-configuring decisions to Strategic. The authors claim to support 'decision-making in automation equipment selection' (Abstract), which is a configuration decision.</t>
  </si>
  <si>
    <t xml:space="preserve">clarification: Here we look for explicit mention of the respective label</t>
  </si>
  <si>
    <t xml:space="preserve">D036</t>
  </si>
  <si>
    <t xml:space="preserve">Text differs (similarity 22%)</t>
  </si>
  <si>
    <t xml:space="preserve">Selection of the elementary operation, the equipment type and the specific supplier equipment model (e.g., Epson articulated arm robot C8-A1401, OPTRONIS camera, RNA bowl feeder) to be installed in assembly lines for new products.</t>
  </si>
  <si>
    <t xml:space="preserve">Selection of specific robot, feeder, and vision system models for a production line based on operational requirements.</t>
  </si>
  <si>
    <t xml:space="preserve">D037</t>
  </si>
  <si>
    <t xml:space="preserve">A factual-driven, LLM-based copilot that supports automation engineers in selecting manufacturing automation equipment (robots, feeders, vision systems) during ramp-up planning. The user either asks general questions or states requirements for an assembly process, for example a feeding speed of 500 parts/h. A primary orchestration agent decides which subcomponents to call: an equipment selection agent, a relational (SQLite3) structured knowledge system, a semi-structured RAG knowledge system (ChromaDB), and an answer generator. The equipment selection agent runs a state-machine workflow with five steps: (1) analyse inputs, (2) select elementary operation, (3) select equipment type, (4) select specific equipment (e.g., bowl feeder ZSB-N 250-30-110 by RNA), and (5) evaluate the selection. In the evaluation step the LLM reflects on whether the choice is suitable. If it is not, the agent asks the user for more information and restarts at the elementary-operation step. The output is a traceable recommendation of specific equipment. It was tested by two automation engineers of an industrial partner on three use-cases with 47 equipment prompts: 20 suggestions were fully suitable and 24 were sufficient.</t>
  </si>
  <si>
    <t xml:space="preserve">The system is a factual-driven copilot designed to assist automation engineers in selecting manufacturing equipment (robots, feeders, and vision systems) during the ramp-up planning phase. It takes user-provided operational requirements as input and outputs logical, actionable equipment recommendations. The system uses a state-machine architecture to guide the decision-making process, retrieving information from both structured (relational) and semi-structured (vector) knowledge bases to ensure traceability and reduce hallucinations.</t>
  </si>
  <si>
    <t xml:space="preserve">D038</t>
  </si>
  <si>
    <t xml:space="preserve">Text differs (similarity 53%)</t>
  </si>
  <si>
    <t xml:space="preserve">GPT-4o powers all LLM nodes: orchestrator, equipment selection agent, knowledge-system agents and answer generator. all-MiniLM-L6-v2 produces the embeddings for semi-structured retrieval in Chroma.</t>
  </si>
  <si>
    <t xml:space="preserve">GPT-4o is used as the core LLM for the primary orchestration agent, equipment selection agent, and answer generator. It is accessed via API through LangGraph.</t>
  </si>
  <si>
    <t xml:space="preserve">D039</t>
  </si>
  <si>
    <r>
      <rPr>
        <b val="true"/>
        <sz val="10"/>
        <rFont val="Arial"/>
        <family val="0"/>
        <charset val="1"/>
      </rPr>
      <t xml:space="preserve">llm_intervention.prompting_techniques
</t>
    </r>
    <r>
      <rPr>
        <i val="true"/>
        <sz val="8"/>
        <color rgb="FF595959"/>
        <rFont val="Arial"/>
        <family val="0"/>
        <charset val="1"/>
      </rPr>
      <t xml:space="preserve">
Type: list[PromptingTechnique]
Prompting technique(s) used by the paper's method, pick all applicable; 'NR' (exclusive) if prompting is not described.
 Types: - zero-shot: Instructions only, no worked examples
- few-shot: In-context examples of input/output pairs
- CoT: Model is asked for intermediate reasoning steps
- self-consistency: Several sampled outputs aggregated (e.g., majority vote)
- ReAct: Interleaved reasoning and tool actions
- structured-output: Output constrained to a schema or grammar (JSON schema, function calling)
- other: Other technique (e.g., tree-of-thoughts, role prompting) (specify)
- NR: Prompting not described</t>
    </r>
  </si>
  <si>
    <t xml:space="preserve">Only R1: zero-shot | Only R2: other; structured-output</t>
  </si>
  <si>
    <t xml:space="preserve">zero-shot</t>
  </si>
  <si>
    <t xml:space="preserve">structured-output; other</t>
  </si>
  <si>
    <t xml:space="preserve">Section 2 describes predefined instruction prompts ("pre-prompt") that tell the LLM how to interpret requirements, group them into component types, and synthesize answers. A "provided template" can reinforce this, but no worked input/output examples are described, so the coding is zero-shot instructions. The reflection step is coded under planning_reflection rather than as CoT, since intermediate reasoning prompting is not described. Uncertain (?) because the prompt contents are not shown.</t>
  </si>
  <si>
    <t xml:space="preserve">The system uses 'pre-prompt' and 'predefined prompt' to structure the interaction and guide the LLM (Section 2). It also uses a 'template' to reinforce requirements. The output is synthesized by an answer generator with a 'defined pre-prompt'. This aligns with structured prompting. The 'other' category is used for the specific 'pre-prompt' and 'template' based guidance described in Section 2, which is a form of role/task-specific prompting not strictly fitting zero/few-shot/CoT/ReAct definitions in the standard sense, but rather a structured workflow prompting.</t>
  </si>
  <si>
    <t xml:space="preserve">D040</t>
  </si>
  <si>
    <r>
      <rPr>
        <b val="true"/>
        <sz val="10"/>
        <rFont val="Arial"/>
        <family val="0"/>
        <charset val="1"/>
      </rPr>
      <t xml:space="preserve">llm_intervention.other_prompting_technique_specification
</t>
    </r>
    <r>
      <rPr>
        <i val="true"/>
        <sz val="8"/>
        <color rgb="FF595959"/>
        <rFont val="Arial"/>
        <family val="0"/>
        <charset val="1"/>
      </rPr>
      <t xml:space="preserve">
Type: str | None
Free-text specification of the prompting technique. Required if 'other' was selected, otherwise null.</t>
    </r>
  </si>
  <si>
    <t xml:space="preserve">Filled only by R2</t>
  </si>
  <si>
    <t xml:space="preserve">Use of predefined pre-prompts and templates to structure user input and guide LLM reasoning steps within a state machine.</t>
  </si>
  <si>
    <t xml:space="preserve">NA</t>
  </si>
  <si>
    <t xml:space="preserve">parent value removed/none → field structurally inapplicable (D039)</t>
  </si>
  <si>
    <t xml:space="preserve">D041</t>
  </si>
  <si>
    <r>
      <rPr>
        <b val="true"/>
        <sz val="10"/>
        <rFont val="Arial"/>
        <family val="0"/>
        <charset val="1"/>
      </rPr>
      <t xml:space="preserve">llm_intervention.workflow_patterns
</t>
    </r>
    <r>
      <rPr>
        <i val="true"/>
        <sz val="8"/>
        <color rgb="FF595959"/>
        <rFont val="Arial"/>
        <family val="0"/>
        <charset val="1"/>
      </rPr>
      <t xml:space="preserve">
Type: list[WorkflowPattern]
All workflow patterns used inside the method, at any level of nesting; 'none' is exclusive.
 Types: - prompt-chaining: Fixed sequence of LLM calls, each processing the previous output
- routing: An LLM call classifies the input and sends it to a specialised follow-up
- parallelization: Independent LLM calls run in parallel (sectioning or voting) and are aggregated
- orchestrator-workers: A central LLM breaks the task down at run time and delegates to workers
- evaluator-optimizer: One LLM generates, another evaluates and feeds back, in a loop
- none: None of these patterns (single call or single autonomous agent)</t>
    </r>
  </si>
  <si>
    <t xml:space="preserve">Only R1: prompt-chaining; routing</t>
  </si>
  <si>
    <t xml:space="preserve">routing; orchestrator-workers; prompt-chaining; evaluator-optimizer</t>
  </si>
  <si>
    <t xml:space="preserve">orchestrator-workers; evaluator-optimizer</t>
  </si>
  <si>
    <t xml:space="preserve">Routing and orchestrator-workers: the orchestrator decides at run time whether a query is a general question or an equipment selection request, and which knowledge subcomponents to call (Fig. 1, dashed conditional edges). Prompt-chaining: inside the equipment selection agent, fixed edges chain the steps analyse inputs → select elementary operation → select equipment type → select specific equipment → evaluate selection. Evaluator-optimizer: the evaluation step has the LLM reflect on suitability, and an unsuitable selection loops back to the elementary-operation step with additional user information (Section 2). The evaluator may be the same LLM rather than a separate one (?).</t>
  </si>
  <si>
    <t xml:space="preserve">The 'primary orchestration agent' delegates to subcomponents (orchestrator-workers). Section 2 describes an 'evaluation selection step, where the LLM reflects the suitability of the decision... In case of an unsuitable selection... restarting the selection'. This is an evaluator-optimizer loop (reflection and retry).</t>
  </si>
  <si>
    <t xml:space="preserve">D042</t>
  </si>
  <si>
    <r>
      <rPr>
        <b val="true"/>
        <sz val="10"/>
        <rFont val="Arial"/>
        <family val="0"/>
        <charset val="1"/>
      </rPr>
      <t xml:space="preserve">evaluation_and_outcomes.study_design
</t>
    </r>
    <r>
      <rPr>
        <i val="true"/>
        <sz val="8"/>
        <color rgb="FF595959"/>
        <rFont val="Arial"/>
        <family val="0"/>
        <charset val="1"/>
      </rPr>
      <t xml:space="preserve">
Type: list[StudyDesignType]
All evaluation settings used for the paper's own method, pick all applicable. 'none' (exclusive) iff validation_status is framework-only or conceptual.
 Types: - test-set: Set of test items (public or author-built) scored against expected answers
- single-case: One case (one company, line or network) worked through
- multi-case: Two or more distinct cases worked through
- user-study: Structured protocol (tasks, questionnaire or interviews) with participants other than the authors
- quasi-experimental: Controlled comparison of conditions or groups on the same tasks
- field-deployment: System in operational use, outcomes observed in practice
- none: No evaluation of the paper's own method (framework-only or conceptual papers only)</t>
    </r>
  </si>
  <si>
    <t xml:space="preserve">Only R1: single-case; test-set | Only R2: multi-case; user-study</t>
  </si>
  <si>
    <t xml:space="preserve">single-case; test-set</t>
  </si>
  <si>
    <t xml:space="preserve">multi-case; user-study</t>
  </si>
  <si>
    <t xml:space="preserve">Section 3 describes one industrial partner, a plastics manufacturer with about 850 employees. Two of its automation engineers tested the copilot on three internal ramp-up planning use-cases (two in Europe, one in China). The 47 equipment prompts were scored against the partner's internal equipment selection, which fits 'test-set'. Because all use-cases come from one company, this is coded 'single-case' rather than 'multi-case'. It is not coded 'user-study' because no structured questionnaire or interview protocol is described, only feedback. The industrial partner had web access to the system for the case study (hosted on Azure, Section 2), but it was not operational deployment, so 'field-deployment' is not coded.</t>
  </si>
  <si>
    <t xml:space="preserve">Section 3 ('Industrial case-study') states that 'Two automation engineers tested the system on three ramp-up planning use-cases'. This constitutes a multi-case study (3 distinct use-cases) and a user-study (structured testing by specific users, the engineers, against internal selections). It is not a field-deployment as it was a demonstration/test phase, not operational use.</t>
  </si>
  <si>
    <t xml:space="preserve">multi-case; test-set</t>
  </si>
  <si>
    <t xml:space="preserve">Fix consensus (format/schema)</t>
  </si>
  <si>
    <t xml:space="preserve">lower-case vocabulary term → proposed: multi-case; test-set</t>
  </si>
  <si>
    <t xml:space="preserve">D043</t>
  </si>
  <si>
    <t xml:space="preserve">47 equipment prompts from 3 internal ramp-up planning use-cases of the industrial partner (confidential; examples in Table 1)</t>
  </si>
  <si>
    <t xml:space="preserve">Section 3: 'Among the 47 equipment prompts analyzed...'. Only some prompts are shown in Table 1 because of confidentiality. No public benchmark was used.</t>
  </si>
  <si>
    <t xml:space="preserve">No public dataset or standard benchmark is mentioned. The evaluation uses internal company data and specific prompts provided by the partner (Section 3).</t>
  </si>
  <si>
    <t xml:space="preserve">D044</t>
  </si>
  <si>
    <r>
      <rPr>
        <b val="true"/>
        <sz val="10"/>
        <rFont val="Arial"/>
        <family val="0"/>
        <charset val="1"/>
      </rPr>
      <t xml:space="preserve">evaluation_and_outcomes.comparator
</t>
    </r>
    <r>
      <rPr>
        <i val="true"/>
        <sz val="8"/>
        <color rgb="FF595959"/>
        <rFont val="Arial"/>
        <family val="0"/>
        <charset val="1"/>
      </rPr>
      <t xml:space="preserve">
Type: list[ComparatorType]
Type(s) of comparator: an alternative method applied to the same task and cases as the paper's method. Not comparators: swapping the LLM backbone, ablations of the method's own components, and comparison against ground truth or observed data. Code 'none' (exclusive) if only these occur.
 Types: - human-planner: Humans doing the task without the system, incl. the manual pre-LLM process
- conventional-method: Non-AI algorithm or tool (OR solver, heuristic, commercial software)
- prior-AI-ML: Another AI/ML or LLM method, incl. prompting baselines such as plain CoT
- none: No comparator used</t>
    </r>
  </si>
  <si>
    <t xml:space="preserve">Only R1: none | Only R2: human-planner</t>
  </si>
  <si>
    <t xml:space="preserve">none</t>
  </si>
  <si>
    <t xml:space="preserve">human-planner</t>
  </si>
  <si>
    <t xml:space="preserve">The copilot's suggestions were compared against the partner's internal component selection (Table 1, Section 3). This selection served as the reference or ground truth for judging suitability, not as an alternative method evaluated on the same metrics. It is therefore coded 'none'. It could arguably be read as 'human-planner' ('?').</t>
  </si>
  <si>
    <t xml:space="preserve">Section 3 states: 'the components suggested by the copilot were compared against the internal selection.' The 'internal selection' refers to the choices made by the automation engineers (humans) without the system, serving as the baseline/comparator.</t>
  </si>
  <si>
    <t xml:space="preserve">lower-case vocabulary term → proposed: human-planner</t>
  </si>
  <si>
    <t xml:space="preserve">D045</t>
  </si>
  <si>
    <t xml:space="preserve">Text differs (similarity 65%)</t>
  </si>
  <si>
    <t xml:space="preserve">47 equipment prompts; 3 use-cases; 2 automation engineers</t>
  </si>
  <si>
    <t xml:space="preserve">47 prompts, 3 use-cases, 2 users</t>
  </si>
  <si>
    <t xml:space="preserve">Section 3: 'Two automation engineers tested the system on three ramp-up planning use-cases'; 'Among the 47 equipment prompts analyzed'.</t>
  </si>
  <si>
    <t xml:space="preserve">Section 3 explicitly states 'Among the 47 equipment prompts analyzed' and 'three ramp-up planning use-cases' tested by 'Two automation engineers'.</t>
  </si>
  <si>
    <t xml:space="preserve">D046</t>
  </si>
  <si>
    <t xml:space="preserve">Text differs (similarity 64%)</t>
  </si>
  <si>
    <t xml:space="preserve">The copilot does not support layout design, which influences equipment selection itself.; The copilot does not incorporate the ramp-up implementation phase.; Not all evaluation prompts can be shown because they involve confidential company information.</t>
  </si>
  <si>
    <t xml:space="preserve">The system does not support layout design, which is an important aspect influencing equipment selection.; The system does not incorporate the ramp-up implementation phase.</t>
  </si>
  <si>
    <t xml:space="preserve">Section 3 and Section 4 state the layout design and ramp-up implementation limitations. Section 3 notes the confidentiality restriction. Future work (discrete-event simulation, MCP, data integration) is mentioned in Section 4.</t>
  </si>
  <si>
    <t xml:space="preserve">Section 3 ('Nevertheless, it also had certain limitations...') and Section 4 ('However, limitations remain...') explicitly state that the copilot does not address layout design or the ramp-up implementation phase.</t>
  </si>
  <si>
    <t xml:space="preserve">same limitation items (64% similar)</t>
  </si>
  <si>
    <t xml:space="preserve">D047</t>
  </si>
  <si>
    <t xml:space="preserve">Text differs (similarity 8%)</t>
  </si>
  <si>
    <t xml:space="preserve">The RAG-based, state-machine, multi-agent copilot (GPT-4o, LangGraph, ChromaDB, SQLite3) was tested by two automation engineers at a plastics manufacturer on three ramp-up use-cases. Of 47 equipment prompts, 3 got the correct type but the wrong subtype, 24 got a sufficient component (correct subtype, most requirements), and 20 got a fully suitable component meeting all requirements. The partner's feedback affirmed that the system gives logical, actionable equipment recommendations aligned with their requirements, though it does not address layout design or ramp-up implementation.</t>
  </si>
  <si>
    <t xml:space="preserve">The system demonstrated the capability to provide logical and actionable recommendations. Out of 47 prompts, 20 resulted in fully suitable equipment selections meeting all requirements, and 24 resulted in sufficient selections meeting most requirements. The industrial partner affirmed its capability, though it lacks support for layout design and implementation phases.</t>
  </si>
  <si>
    <t xml:space="preserve">D048</t>
  </si>
  <si>
    <r>
      <rPr>
        <b val="true"/>
        <sz val="10"/>
        <rFont val="Arial"/>
        <family val="0"/>
        <charset val="1"/>
      </rPr>
      <t xml:space="preserve">gap_indicators.hitl_type
</t>
    </r>
    <r>
      <rPr>
        <i val="true"/>
        <sz val="8"/>
        <color rgb="FF595959"/>
        <rFont val="Arial"/>
        <family val="0"/>
        <charset val="1"/>
      </rPr>
      <t xml:space="preserve">
Type: Annotated[list[HITLType], AfterValidator(func=&lt;function &lt;lambda&gt; at 0x7ff41b44c670&gt;)] | None
All HITL patterns present, required if hitl_pattern_present is true. Classify by who triggers the human step (workflow, human, system) and when.
 Types: - approval-gate: Workflow-initiated: a human must check and accept or repair output before the workflow proceeds
- what-if-interface: Human-initiated: human poses scenarios or changes inputs to explore outcomes
- escalation-protocol: System-initiated: the system detects uncertainty, failure or missing information and asks the human
- iterative-feedback: Human judges each iteration's output and gives guidance that steers the next iteration
- human-override: Human edits or vetoes the agents' intermediate decisions or plans
- other: Other HITL pattern (specify)</t>
    </r>
  </si>
  <si>
    <t xml:space="preserve">Only R2: iterative-feedback</t>
  </si>
  <si>
    <t xml:space="preserve">escalation-protocol</t>
  </si>
  <si>
    <t xml:space="preserve">escalation-protocol; iterative-feedback</t>
  </si>
  <si>
    <t xml:space="preserve">The system triggers the human step. The LLM's evaluate-selection step detects an unsuitable selection and asks the user for more information (Section 2: "additional information about the decision is requested from the user"). This fits escalation-protocol. There is no explicit approval gate or override mechanism.</t>
  </si>
  <si>
    <t xml:space="preserve">The system initiates a request for more information when it cannot fulfill requirements or detects unsuitability (escalation-protocol). The user provides this information, which steers the next iteration of the selection process (iterative-feedback). Section 2: 'additional information about the decision is requested from the user... restarting the selection'.</t>
  </si>
  <si>
    <t xml:space="preserve">D049</t>
  </si>
  <si>
    <t xml:space="preserve">Text differs (similarity 7%)</t>
  </si>
  <si>
    <t xml:space="preserve">After a specific piece of equipment is selected, the LLM checks whether the choice is suitable. If it judges the choice unsuitable, it asks the user for additional information. The selection then restarts from the elementary-operation step, using the new input.</t>
  </si>
  <si>
    <t xml:space="preserve">The copilot operates as a state machine. If the LLM determines that the selected equipment is unsuitable or requirements are not fully met, it requests additional information from the user. The user provides this input, and the system restarts the selection process for the elementary operation with the new context.</t>
  </si>
  <si>
    <t xml:space="preserve">description follows consensus hitl_type (= R1) (D048)</t>
  </si>
  <si>
    <t xml:space="preserve">D050</t>
  </si>
  <si>
    <t xml:space="preserve">Only R2: structured-schema</t>
  </si>
  <si>
    <t xml:space="preserve">relational-database</t>
  </si>
  <si>
    <t xml:space="preserve">relational-database; structured-schema</t>
  </si>
  <si>
    <t xml:space="preserve">Section 2 describes a relational database (SQLite3) that maps equipment to attributes, with an equipment category-to-type taxonomy (Appendix B.1). It is extendable via HTTP POST through a Swagger interface. No ontology or knowledge graph is described.</t>
  </si>
  <si>
    <t xml:space="preserve">The paper explicitly mentions a 'relational knowledge system' using 'SQLite3' (Section 2, Fig 1 legend). It maps equipment to attributes, which fits 'relational-database'. The mapping of equipment categories to types (Appendix B) and the structured nature of the data retrieval implies a 'structured-schema' or taxonomy, though 'relational-database' is the primary explicit implementation detail. The semi-structured RAG part is not formalized in the same way (it's vector embeddings of text chunks), so it doesn't count as formalization per the schema definition ('Free-text... unstructured RAG corpora alone do not count'). However, the relational DB part does.</t>
  </si>
  <si>
    <t xml:space="preserve">lower-case vocabulary term → proposed: relational-database</t>
  </si>
  <si>
    <t xml:space="preserve">D051</t>
  </si>
  <si>
    <t xml:space="preserve">Text differs (similarity 6%)</t>
  </si>
  <si>
    <t xml:space="preserve">A SQLite3 relational database maps specific equipment (robots, feeders, vision systems) to their attributes and is linked to supplier product catalogs. The mapping is based on scientific books. A taxonomy of elementary operations and equipment categories/types (e.g., SCARA, Vibratory Bowl Feeder, Area Scan Camera) is used to select the elementary operation, then the equipment type, then the specific equipment. A complementary semi-structured Markdown corpus (lecture slides, dissertations) is stored in ChromaDB for RAG.</t>
  </si>
  <si>
    <t xml:space="preserve">The system uses a relational database (SQLite3) to store structured knowledge mapping specific equipment (robots, feeders, vision systems) to their attributes. This is linked to product and equipment catalogs. Additionally, a semi-structured knowledge system uses RAG with ChromaDB to retrieve text chunks from lecture slides and dissertations.</t>
  </si>
  <si>
    <t xml:space="preserve">description follows consensus type (= R1) (D050)</t>
  </si>
  <si>
    <t xml:space="preserve">D052</t>
  </si>
  <si>
    <t xml:space="preserve">Only R1: rubric</t>
  </si>
  <si>
    <t xml:space="preserve">custom-test-set; expert-ground-truth; rubric</t>
  </si>
  <si>
    <t xml:space="preserve">custom-test-set; expert-ground-truth</t>
  </si>
  <si>
    <t xml:space="preserve">The test set is custom: 47 prompts from the partner's internal use-cases. Ground truth is expert-based, since suggestions were compared with the partner engineers' internal selections (Table 1, "Component suggested by partner"). Scoring uses ordinal suitability levels (correct type only / sufficient / fully suitable).</t>
  </si>
  <si>
    <t xml:space="preserve">The test cases were internal use-cases from the industrial partner (custom-test-set). The evaluation compared the copilot's suggestions against the 'internal selection' made by the partner's automation engineers (expert-ground-truth). Section 3: 'the components suggested by the copilot were compared against the internal selection.'</t>
  </si>
  <si>
    <t xml:space="preserve">no scala identified in paper; different categories are compared</t>
  </si>
  <si>
    <t xml:space="preserve">D053</t>
  </si>
  <si>
    <t xml:space="preserve">Text differs (similarity 13%)</t>
  </si>
  <si>
    <t xml:space="preserve">Industrial case study with a plastics manufacturer. Two automation engineers ran 47 equipment prompts across three ramp-up use-cases (two in Europe, one in China) covering robots, feeders and vision systems. Copilot suggestions were compared to the partner's internal selections and classified as: correct equipment type but wrong subtype (3), correct subtype meeting most requirements (24), or fully suitable meeting all requirements (20).</t>
  </si>
  <si>
    <t xml:space="preserve">The system was evaluated using 47 equipment prompts derived from three internal ramp-up planning use-cases of an industrial partner. The outputs were compared against the partner's internal expert selections. Success was measured by whether the correct equipment type was selected, the correct subtype was identified, and whether all specific requirements were met.</t>
  </si>
  <si>
    <t xml:space="preserve">description follows consensus type (= R2, no rubric) (D052)</t>
  </si>
  <si>
    <t xml:space="preserve">D054</t>
  </si>
  <si>
    <r>
      <rPr>
        <b val="true"/>
        <sz val="10"/>
        <rFont val="Arial"/>
        <family val="0"/>
        <charset val="1"/>
      </rPr>
      <t xml:space="preserve">quality_appraisal.q1_methodological_transparency
</t>
    </r>
    <r>
      <rPr>
        <i val="true"/>
        <sz val="8"/>
        <color rgb="FF595959"/>
        <rFont val="Arial"/>
        <family val="0"/>
        <charset val="1"/>
      </rPr>
      <t xml:space="preserve">
Type: AppraisalAnswer
Q1: Is the method (study design, system architecture, or framework logic) described in enough detail for independent replication?
 Types: - Yes: Criterion fully met
- Partially: Criterion partly met
- No: Criterion not met</t>
    </r>
  </si>
  <si>
    <t xml:space="preserve">Section 2 and Fig. 1 describe the architecture in good detail. They cover the orchestrator, equipment selection agent, relational knowledge system (SQLite3), semi-structured RAG system (ChromaDB, all-MiniLM-L6-v2, chunk size 750, overlap 150, top-3 retrieval by dot product), and the LangGraph state machine with GPT-4o, Django REST, Gradio and Azure. However, the pre-prompts are not given ("based on a predefined prompt (pre-prompt)"), the knowledge sources are internal ("lecture slides and dissertations provided by the WZL institute"), and the supplier catalogs are unspecified. Independent replication would therefore be difficult.</t>
  </si>
  <si>
    <t xml:space="preserve">The paper provides a detailed description of the system architecture in Section 2 ('Copilot design'). It specifies the multi-agent design pattern, the state machine workflow (Fig. 1), the specific LLM used (GPT-4o), the vector database (ChromaDB) with embedding model (all-MiniLM-L6-v2), the relational database (SQLite3), and the framework (LangGraph). It also details RAG parameters such as chunk size (750) and overlap (150). Section 3 lists the specific technologies used (Django REST Framework, Gradio, Azure). This level of detail allows for independent replication of the system setup.</t>
  </si>
  <si>
    <t xml:space="preserve">D055</t>
  </si>
  <si>
    <r>
      <rPr>
        <b val="true"/>
        <sz val="10"/>
        <rFont val="Arial"/>
        <family val="0"/>
        <charset val="1"/>
      </rPr>
      <t xml:space="preserve">quality_appraisal.q3_validity_and_limitation_discussion
</t>
    </r>
    <r>
      <rPr>
        <i val="true"/>
        <sz val="8"/>
        <color rgb="FF595959"/>
        <rFont val="Arial"/>
        <family val="0"/>
        <charset val="1"/>
      </rPr>
      <t xml:space="preserve">
Type: AppraisalAnswer
Q3: Are the boundaries of the contribution explicitly discussed (failure modes, scalability, external validity, domain assumptions)?
 Types: - Yes: Criterion fully met
- Partially: Criterion partly met
- No: Criterion not met</t>
    </r>
  </si>
  <si>
    <t xml:space="preserve">Sections 3 and 4 note scope limitations: "it does not support layout design" and "does not incorporate the ramp-up implementation phase." Future work is also listed. The paper does not discuss failure modes, hallucination residuals, external validity (single partner, two engineers), scalability, or evaluation bias.</t>
  </si>
  <si>
    <t xml:space="preserve">Section 3 explicitly states limitations: 'it does not support layout design... Additionally, it does not incorporate the ramp-up implementation phase.' Section 4 (Conclusion) reiterates these limitations and discusses future directions like discrete-event simulation integration. The authors acknowledge that the system relies on specific domain knowledge and does not cover the full ramp-up process.</t>
  </si>
  <si>
    <t xml:space="preserve">limitations in evaluation of the study (no sensible limitations)</t>
  </si>
  <si>
    <t xml:space="preserve">D056</t>
  </si>
  <si>
    <t xml:space="preserve">Section 1 includes a Scopus/WoS search (198 and 85 articles) and briefly summarizes related LLM manufacturing works [21-26]. It identifies a gap: "no studies have been identified that propose LLM-driven methods or tools specifically designed to support automation engineers in equipment selection." It also contrasts with static rule-based methods [9,10]. There is no detailed or empirical comparison with existing solutions.</t>
  </si>
  <si>
    <t xml:space="preserve">Section 1 (Introduction) reviews existing methods, noting they 'often rely on static rules and predefined knowledge' and 'lack generalization'. It contrasts the proposed LLM/RAG approach with these static methods and other LLM applications in manufacturing (assembly instructions, human-robot communication). The paper explicitly states: 'no studies have been identified that propose LLM-driven methods or tools specifically designed to support automation engineers in equipment selection during the ramp-up phase.'</t>
  </si>
  <si>
    <t xml:space="preserve">no empirical comparison</t>
  </si>
  <si>
    <t xml:space="preserve">D057</t>
  </si>
  <si>
    <t xml:space="preserve">Discrete manufacturing</t>
  </si>
  <si>
    <t xml:space="preserve">Discrete Manufacturing</t>
  </si>
  <si>
    <t xml:space="preserve">Sec. 4.2 states: 'The method in this paper is applicable to discrete manufacturing industries...' The case study is a discrete manufacturing shopfloor producing metal parts. The dataset sources also include motor manufacturing plants, machine processing workshops and textile companies (Sec. 4.1).</t>
  </si>
  <si>
    <t xml:space="preserve">The abstract and introduction focus on 'modern industrial production' and 'discrete manufacturing shopfloor scenarios'. Section 4.2 specifically mentions 'discrete manufacturing shopfloor' and lists equipment such as 'CNC lathes, CNC milling machines, drilling machines, and inspection tables'. The case study involves a 'small discrete manufacturing shopfloor'.</t>
  </si>
  <si>
    <t xml:space="preserve">D058</t>
  </si>
  <si>
    <t xml:space="preserve">Text differs (similarity 16%)</t>
  </si>
  <si>
    <t xml:space="preserve">Shopfloor (facility) layout generation for a small discrete manufacturing shopfloor with CNC lathes, CNC milling machines, drilling machines and inspection tables (single production line for metal parts); I-, L- and U-shaped layouts</t>
  </si>
  <si>
    <t xml:space="preserve">Shopfloor Layout Design</t>
  </si>
  <si>
    <t xml:space="preserve">Sec. 4.2: 'This paper used a small discrete manufacturing shopfloor as a case study, which is fully equipped with CNC lathes, CNC milling machines, drilling machines, and inspection tables, with only one production line for manufacturing different types of metal parts.' Three layout patterns (double-line/I-shape, L-shape, U-shape) were tested.</t>
  </si>
  <si>
    <t xml:space="preserve">The entire paper is dedicated to 'Shopfloor layout generation'. Section 4.2 details the case study: 'In the context of discrete manufacturing shopfloor... this paper selected these three different layout models [I-shape, L-shape, U-shape] as the main content for the layout requirement experiments.' The domain is specifically the spatial arrangement of equipment in a manufacturing workshop.</t>
  </si>
  <si>
    <t xml:space="preserve">D059</t>
  </si>
  <si>
    <t xml:space="preserve">Generating layout variants following layout patterns (I/L/U-shaped) corresponds to concept planning (ideal/real layout) (Sec. 4.2). Exact equipment coordinates, safety distances, interference ranges and maintenance space (Sec. 3.2.2, Fig. 12) extend toward fine/detailed layout planning. The assignment to Phase 4 is uncertain ('?'); the paper does not reference VDI 5200 phases.</t>
  </si>
  <si>
    <t xml:space="preserve">The method generates layout schemes/variants based on requirements and constraints. Section 4.2 mentions generating 'layout schemes' and comparing them. This corresponds to Phase 3 (Concept Planning) where layout variants are developed and evaluated, rather than detailed engineering (Phase 4) or realization (Phase 5/6). The paper focuses on the design/generation of the layout concept.</t>
  </si>
  <si>
    <t xml:space="preserve">see reasoning r1</t>
  </si>
  <si>
    <t xml:space="preserve">D060</t>
  </si>
  <si>
    <t xml:space="preserve">No claim found; the authors do not use strategic/tactical/operational terminology.</t>
  </si>
  <si>
    <t xml:space="preserve">The authors frame the work as 'shopfloor layout design' and 'layout generation'. While they don't use the word 'strategic' explicitly in a tier sense, the task of designing the factory layout is inherently a strategic/system-configuring activity in the context of factory planning. The abstract mentions 'adaptive and customizable potential' for 'modern industrial production', implying a design-level decision.</t>
  </si>
  <si>
    <t xml:space="preserve">see reasoning r1; and explanaition in earlier cases for same category</t>
  </si>
  <si>
    <t xml:space="preserve">D061</t>
  </si>
  <si>
    <t xml:space="preserve">Positions (2D coordinates on X/Z plane) and arrangement of preset equipment (CNC lathes, milling machines, drilling machines, inspection tables) within a shopfloor and production line. The layout follows I-, L- or U-shaped patterns while satisfying building, area and channel boundary constraints and inter-equipment constraints (safety distance, interference, maintenance space).</t>
  </si>
  <si>
    <t xml:space="preserve">The decision determines the 2D coordinates, dimensions, and relative positions of production equipment (lathes, mills, etc.) within the shopfloor boundaries, satisfying spatial and relational constraints.</t>
  </si>
  <si>
    <t xml:space="preserve">D062</t>
  </si>
  <si>
    <r>
      <rPr>
        <b val="true"/>
        <sz val="10"/>
        <rFont val="Arial"/>
        <family val="0"/>
        <charset val="1"/>
      </rPr>
      <t xml:space="preserve">strategic_planning_scope.theoretical_framework_cited
</t>
    </r>
    <r>
      <rPr>
        <i val="true"/>
        <sz val="8"/>
        <color rgb="FF595959"/>
        <rFont val="Arial"/>
        <family val="0"/>
        <charset val="1"/>
      </rPr>
      <t xml:space="preserve">
Type: list[TheoreticalFrameworkType]
Planning-domain framework(s) the paper uses to structure its planning scope. General methods (MCDM, game theory, V&amp;V principles, prompting techniques) and frameworks only cited as background do not count; then code 'none'.
 Types: - VDI-5200: VDI 5200 factory planning guideline
- SC-Planning-Matrix: Supply Chain Planning Matrix (Fleischmann, Meyr, Wagner)
- Lanza-et-al-2019: Global production network design (Lanza et al., CIRP Annals 2019)
- Wiendahl-Nyhuis: Wiendahl-Nyhuis factory planning framework
- Melo-Nickel-Saldanha-da-Gama-2009: Strategic logistics/distribution network design framework (Melo, Nickel, Saldanha-da-Gama 2009)
- other: Another planning-domain framework or reference model (e.g., Systematic Layout Planning) that structures the paper's planning scope (specify)
- none: No planning-domain framework used to structure the scope</t>
    </r>
  </si>
  <si>
    <t xml:space="preserve">Only R1: none | Only R2: other</t>
  </si>
  <si>
    <t xml:space="preserve">other</t>
  </si>
  <si>
    <t xml:space="preserve">[theoretical_framework_cited_reasoning] Muther's Systematic Layout Planning (SLP) is mentioned only as background in the Introduction ('the most classic approach is Richard Muther's Systematic Layout Planning'). It is not used to structure the method. CoT, ReAct and RAG are prompting techniques and do not count.
[theoretical_framework_rationale] The method is structured around prompt engineering (task decomposition into Role/Space/Factory/Request, equipment models, and a think-generate-evaluate iteration) rather than any planning-domain framework. SLP and VDI 5200 are not used to structure the scope.</t>
  </si>
  <si>
    <t xml:space="preserve">[theoretical_framework_cited_reasoning] The paper cites 'Systematic Layout Planning (SLP)' by Richard Muther as the 'most classic approach' in Section 1. While SLP is a methodology/framework for layout planning, it is not one of the specific strategic planning frameworks listed in the enum (VDI-5200, SC-Planning-Matrix, etc.). Therefore, 'other' is the appropriate category, specifying SLP.</t>
  </si>
  <si>
    <t xml:space="preserve">reasoning r1, no ther relevant framework used</t>
  </si>
  <si>
    <t xml:space="preserve">D063</t>
  </si>
  <si>
    <r>
      <rPr>
        <b val="true"/>
        <sz val="10"/>
        <rFont val="Arial"/>
        <family val="0"/>
        <charset val="1"/>
      </rPr>
      <t xml:space="preserve">strategic_planning_scope.other_theoretical_framework_specification
</t>
    </r>
    <r>
      <rPr>
        <i val="true"/>
        <sz val="8"/>
        <color rgb="FF595959"/>
        <rFont val="Arial"/>
        <family val="0"/>
        <charset val="1"/>
      </rPr>
      <t xml:space="preserve">
Type: str | None
Free-text name and citation of the specific framework(s) utilized, not restricted to a controlled vocabulary. Required if 'other' was selected, otherwise null.</t>
    </r>
  </si>
  <si>
    <t xml:space="preserve">Systematic Layout Planning (SLP) by Richard Muther</t>
  </si>
  <si>
    <t xml:space="preserve">parent value removed/none → field structurally inapplicable (D062)</t>
  </si>
  <si>
    <t xml:space="preserve">D064</t>
  </si>
  <si>
    <t xml:space="preserve">The LLM generates 2D shopfloor equipment layouts from structured prompts. The prompt template has three parts. (1) A task description, Task = {Role, Space, Factory, Request}, covering role prompt, coordinate-system space definition, factory boundaries, and layout requirements such as I/L/U-shaped patterns. (2) Output prompts, consisting of layout examples and JSON output structure hints. (3) Contextual knowledge units: equipment mathematical, text-information and constraint models, retrieved by Word2vec/cosine-similarity RAG. The LLM works in an iterative 'think-generate-evaluate' loop. In the thinking step it checks whether the information is sufficient and identifies missing knowledge, which triggers re-retrieval. In the generation step it outputs a JSON layout with equipment positions and rotations. In the evaluation step it is combined with human decision-making to check layout pattern and constraint compliance and to queue adjustment tasks. A parser then converts the JSON into a 3D scene using THREEJS and GLTF models. The method is validated on a small discrete manufacturing shopfloor (CNC lathes, mills, drills, inspection tables) for I-, L- and U-shaped layouts, compared against a CoT baseline. Separately, a spatial-reasoning Q&amp;A dataset was used to test several LLMs.</t>
  </si>
  <si>
    <t xml:space="preserve">The LLM is used to generate shopfloor layout schemes by interpreting structured task descriptions (role, space, factory, requirements) and equipment knowledge. It performs spatial reasoning to determine the 2D coordinates and arrangement of rectangular equipment elements within a defined boundary, adhering to comprehensive and relational constraints. The system uses an iterative 'think-generate-evaluate' cycle to refine the layout, with the LLM acting as the core reasoning engine for spatial configuration and constraint satisfaction.</t>
  </si>
  <si>
    <t xml:space="preserve">D065</t>
  </si>
  <si>
    <r>
      <rPr>
        <b val="true"/>
        <sz val="10"/>
        <rFont val="Arial"/>
        <family val="0"/>
        <charset val="1"/>
      </rPr>
      <t xml:space="preserve">llm_intervention.models
</t>
    </r>
    <r>
      <rPr>
        <i val="true"/>
        <sz val="8"/>
        <color rgb="FF595959"/>
        <rFont val="Arial"/>
        <family val="0"/>
        <charset val="1"/>
      </rPr>
      <t xml:space="preserve">
Type: list[str]
Exact name(s) + version (e.g., 'GPT-4o', 'Llama 3.1 70B') of only those LLMs deployed and evaluated with the paper's own method. If the version is not given, write e.g. 'ChatGPT (unspecified version)'. Do not list models that are merely discussed, cited or used outside the method (e.g., related work, external baselines); record those in models_rationale.</t>
    </r>
  </si>
  <si>
    <t xml:space="preserve">Only R2: ChatGLM3-6B; GPT-3.5 (turbo); GPT-4</t>
  </si>
  <si>
    <t xml:space="preserve">Mixtral 8x7B</t>
  </si>
  <si>
    <t xml:space="preserve">Mixtral 8x7B; GPT-4; GPT-3.5 (turbo); ChatGLM3-6B</t>
  </si>
  <si>
    <t xml:space="preserve">Section 4.2 states that the open-source Mixtral 8x7B was deployed locally (temperature 0.5) for the method validation; the comparative experiments and ablation also all used Mixtral 8x7B. Section 4.1 tested GPT-3.5 (turbo), GPT-4, ChatGLM3-6B (14 March 2024 version) and Mixtral 8x7B on the authors' spatial-reasoning Q&amp;A dataset. That test was a capability evaluation of LLMs, not a run of the full layout-generation method, so these models are not listed. This is borderline (?). ChatGPT is also mentioned in the introduction.</t>
  </si>
  <si>
    <t xml:space="preserve">Section 4.1 states: 'This paper tested several representative language models... GPT-3.5 (turbo) and GPT-4... ChatGLM3-6B and Mixtral 8x7B'. Section 4.2 states: 'In this case, this paper employed the open-source large language model Mixtral 8x7B for local deployment'. The Q&amp;A dataset evaluation in 4.1 tests all four. The method validation in 4.2 specifically uses Mixtral 8x7B. GPT-4 and GPT-3.5 are used for the capability evaluation (Q&amp;A dataset) and potentially as baselines or comparisons, but Mixtral is the primary model for the case study layout generation. The prompt says 'deployed and evaluated with the paper's own method'. The Q&amp;A dataset is part of the evaluation of the LLMs' potential for the method. The case study uses Mixtral. I will include all tested models as they are evaluated in the context of the paper's proposed approach (spatial reasoning for layout).</t>
  </si>
  <si>
    <t xml:space="preserve">models mentioned from r2 extra are not deployed or validated just used in earlier test stages</t>
  </si>
  <si>
    <t xml:space="preserve">D066</t>
  </si>
  <si>
    <t xml:space="preserve">Mixtral 8x7B is used for layout generation in the case study, the CoT-baseline comparison and the ablation. GPT-4, GPT-3.5, ChatGLM3-6B and Mixtral were benchmarked only on the spatial-reasoning Q&amp;A dataset (Section 4.1, Figure 11).</t>
  </si>
  <si>
    <t xml:space="preserve">models = Mixtral 8x7B only; R1 context explains the test-stage models (D065)</t>
  </si>
  <si>
    <t xml:space="preserve">D067</t>
  </si>
  <si>
    <r>
      <rPr>
        <b val="true"/>
        <sz val="10"/>
        <rFont val="Arial"/>
        <family val="0"/>
        <charset val="1"/>
      </rPr>
      <t xml:space="preserve">llm_intervention.model_family
</t>
    </r>
    <r>
      <rPr>
        <i val="true"/>
        <sz val="8"/>
        <color rgb="FF595959"/>
        <rFont val="Arial"/>
        <family val="0"/>
        <charset val="1"/>
      </rPr>
      <t xml:space="preserve">
Type: list[ModelFamilyType]
Model family classification(s) of the models listed in 'models'; non-empty iff models is non-empty.
 Types: - GPT: OpenAI GPT family (incl. o-series and ChatGPT)
- Claude: Anthropic Claude family
- Gemini: Google Gemini family (proprietary)
- Gemma: Google Gemma family (open-weight)
- Llama: Meta Llama family
- Mistral: Mistral AI family, incl. Mixtral and other Mistral-derived models
- Qwen: Alibaba Qwen family
- DeepSeek: DeepSeek family
- Phi: Microsoft Phi family
- GLM: Zhipu AI / THUDM GLM family, incl. ChatGLM
- ERNIE: Baidu ERNIE family
- Command: Cohere Command family
- Falcon: TII Falcon family
- other: Other model family (specify)</t>
    </r>
  </si>
  <si>
    <t xml:space="preserve">Only R2: GLM; GPT</t>
  </si>
  <si>
    <t xml:space="preserve">Mistral</t>
  </si>
  <si>
    <t xml:space="preserve">Mistral; GPT; GLM</t>
  </si>
  <si>
    <t xml:space="preserve">Mixtral 8x7B is a Mistral AI sparse mixture-of-experts model (Section 4.1/4.2).</t>
  </si>
  <si>
    <t xml:space="preserve">Mixtral 8x7B is a Mistral-derived model (Section 4.1). GPT-4 and GPT-3.5 are OpenAI GPT family (Section 4.1). ChatGLM3-6B is the GLM family (Section 4.1).</t>
  </si>
  <si>
    <t xml:space="preserve">see llm intervention models</t>
  </si>
  <si>
    <t xml:space="preserve">D068</t>
  </si>
  <si>
    <r>
      <rPr>
        <b val="true"/>
        <sz val="10"/>
        <rFont val="Arial"/>
        <family val="0"/>
        <charset val="1"/>
      </rPr>
      <t xml:space="preserve">llm_intervention.open_weight
</t>
    </r>
    <r>
      <rPr>
        <i val="true"/>
        <sz val="8"/>
        <color rgb="FF595959"/>
        <rFont val="Arial"/>
        <family val="0"/>
        <charset val="1"/>
      </rPr>
      <t xml:space="preserve">
Type: OpenWeightType
Whether the weights of the models listed in 'models' are openly available.
 Types: - Y: Open-weight model (Llama, Mistral, Qwen, DeepSeek, ...)
- N: Proprietary model (GPT, Claude, Gemini, ...)
- mixed: System uses both open-weight and proprietary models
- NR: Not reported: model not named precisely enough to decide (B9)</t>
    </r>
  </si>
  <si>
    <t xml:space="preserve">Only R1: Y | Only R2: mixed</t>
  </si>
  <si>
    <t xml:space="preserve">Y</t>
  </si>
  <si>
    <t xml:space="preserve">mixed</t>
  </si>
  <si>
    <t xml:space="preserve">The paper calls Mixtral 8x7B 'open-source' and a SMoE model 'with open weights' (Sections 4.1, 4.2).</t>
  </si>
  <si>
    <t xml:space="preserve">Mixtral 8x7B is described as an 'open-source large language model' (Section 4.2) and 'open weights' (Section 4.1). ChatGLM3-6B is typically open-weight (Zhipu AI). GPT-4 and GPT-3.5 are proprietary (OpenAI). Thus, the set of models includes both open-weight and proprietary models.</t>
  </si>
  <si>
    <t xml:space="preserve">D069</t>
  </si>
  <si>
    <r>
      <rPr>
        <b val="true"/>
        <sz val="10"/>
        <rFont val="Arial"/>
        <family val="0"/>
        <charset val="1"/>
      </rPr>
      <t xml:space="preserve">llm_intervention.model_size
</t>
    </r>
    <r>
      <rPr>
        <i val="true"/>
        <sz val="8"/>
        <color rgb="FF595959"/>
        <rFont val="Arial"/>
        <family val="0"/>
        <charset val="1"/>
      </rPr>
      <t xml:space="preserve">
Type: str
Parameter count(s) as reported (e.g., '70B', '8B; 70B'). NR if not reported (B9).</t>
    </r>
  </si>
  <si>
    <t xml:space="preserve">Text differs (similarity 67%)</t>
  </si>
  <si>
    <t xml:space="preserve">8x7B</t>
  </si>
  <si>
    <t xml:space="preserve">8x7B; 6B</t>
  </si>
  <si>
    <t xml:space="preserve">models = Mixtral 8x7B only → model size 8x7B (D065)</t>
  </si>
  <si>
    <t xml:space="preserve">D070</t>
  </si>
  <si>
    <r>
      <rPr>
        <b val="true"/>
        <sz val="10"/>
        <rFont val="Arial"/>
        <family val="0"/>
        <charset val="1"/>
      </rPr>
      <t xml:space="preserve">llm_intervention.deployment
</t>
    </r>
    <r>
      <rPr>
        <i val="true"/>
        <sz val="8"/>
        <color rgb="FF595959"/>
        <rFont val="Arial"/>
        <family val="0"/>
        <charset val="1"/>
      </rPr>
      <t xml:space="preserve">
Type: DeploymentType
Where the model(s) run.
 Types: - API: Hosted model accessed via a provider API or chat interface
- local-on-prem: Model runs locally or on the organisation's own (on-prem/private-cloud) infrastructure
- mixed: Both API and local models used
- NR: Not reported</t>
    </r>
  </si>
  <si>
    <t xml:space="preserve">Only R1: local-on-prem | Only R2: mixed</t>
  </si>
  <si>
    <t xml:space="preserve">local-on-prem</t>
  </si>
  <si>
    <t xml:space="preserve">Section 4.2: 'employed the open-source large language model Mixtral 8 × 7B for local deployment'.</t>
  </si>
  <si>
    <t xml:space="preserve">Section 4.2 states Mixtral 8x7B was used for 'local deployment'. Section 4.1 mentions testing GPT-3.5 and GPT-4, which are typically accessed via API. The paper does not explicitly state how GPT models were accessed, but 'local deployment' is explicitly stated for Mixtral. Given the mix of open-source (local) and proprietary (likely API) models, 'mixed' is the most accurate classification.</t>
  </si>
  <si>
    <t xml:space="preserve">D071</t>
  </si>
  <si>
    <t xml:space="preserve">Only R1: ReAct; few-shot</t>
  </si>
  <si>
    <t xml:space="preserve">few-shot; CoT; ReAct; structured-output; other</t>
  </si>
  <si>
    <t xml:space="preserve">CoT; structured-output; other</t>
  </si>
  <si>
    <t xml:space="preserve">Section 3.2.3: the output prompt includes 'examples of layouts and output structure hints' (few-shot, structured JSON output). Section 3.2.1: role prompts define the LLM's role (role prompting, coded as other). Section 3.3: a stepwise think-generate-evaluate reasoning chain 'inspired by advanced frameworks such as COT and ReAct'. In it, the thinking step identifies missing knowledge and triggers retrieval (Figure 9, 'Action: Retrieve relevant information'), which is a ReAct-like interleaving of reasoning and action. Task decomposition into subtasks and keyword strategies are also described.</t>
  </si>
  <si>
    <t xml:space="preserve">Section 3.3 mentions 'a stepwise strategy inspired by advanced frameworks such as COT (Chain-of-Thought)'. The method uses an iterative 'think-generate-evaluate' cycle which aligns with CoT/ReAct-like reasoning. Section 3.2.3 describes constructing prompt templates with 'output structure hints' and using JSON, which fits 'structured-output'. The 'other' category is used for the specific 'Prompt Engineering' strategies described, such as role prompting, space definition, and knowledge unit integration, which are specific to this domain application.</t>
  </si>
  <si>
    <t xml:space="preserve">D072</t>
  </si>
  <si>
    <t xml:space="preserve">Text differs (similarity 43%)</t>
  </si>
  <si>
    <t xml:space="preserve">Role prompting; task decomposition into subtasks; dynamic/static prompt templates with retrieved knowledge units.</t>
  </si>
  <si>
    <t xml:space="preserve">Role prompting, Space definition, Factory description, Layout requirements, Knowledge unit integration (RAG-based), Iterative think-generate-evaluate loop.</t>
  </si>
  <si>
    <t xml:space="preserve">'other' kept; R1 names techniques, R2 lists prompt-template components (D071)</t>
  </si>
  <si>
    <t xml:space="preserve">D073</t>
  </si>
  <si>
    <t xml:space="preserve">Only R1: prompt-chaining</t>
  </si>
  <si>
    <t xml:space="preserve">prompt-chaining; evaluator-optimizer</t>
  </si>
  <si>
    <t xml:space="preserve">evaluator-optimizer</t>
  </si>
  <si>
    <t xml:space="preserve">The think, generate and evaluate steps are 'connected in series to form a reasoning chain' (prompt-chaining). The evaluation step (LLM assessment plus human decision) identifies adjustments and adds tasks to the queue for regeneration, iterating until tasks are exhausted (evaluator-optimizer; Section 3.3, Figure 9).</t>
  </si>
  <si>
    <t xml:space="preserve">Section 3.3 describes an 'iterative reasoning mechanism' with 'thinking, generation, and evaluation' connected in series. The evaluation step assesses the generated layout and feeds back adjustments for the next iteration. This matches the 'evaluator-optimizer' pattern where one component generates and another (or the same in a loop) evaluates and refines.</t>
  </si>
  <si>
    <t xml:space="preserve">D074</t>
  </si>
  <si>
    <r>
      <rPr>
        <b val="true"/>
        <sz val="10"/>
        <rFont val="Arial"/>
        <family val="0"/>
        <charset val="1"/>
      </rPr>
      <t xml:space="preserve">llm_intervention.tool_use
</t>
    </r>
    <r>
      <rPr>
        <i val="true"/>
        <sz val="8"/>
        <color rgb="FF595959"/>
        <rFont val="Arial"/>
        <family val="0"/>
        <charset val="1"/>
      </rPr>
      <t xml:space="preserve">
Type: bool
True if an LLM component itself decides to call tools/functions at run time (Schick et al., 'Toolformer', NeurIPS 2023); developer-fixed calls to external components are coded only in integrations.</t>
    </r>
  </si>
  <si>
    <t xml:space="preserve">R1 TRUE vs R2 FALSE</t>
  </si>
  <si>
    <t xml:space="preserve">Memory: a task queue and iteration state are kept within one layout session; there is no persistent cross-task memory. Planning/reflection: the thinking step assesses whether information is sufficient, and the evaluation step has the LLM assess whether the generated layout meets the pattern and constraints and pinpoint issues (Figure 9). Tool use: in the thinking step the LLM identifies the missing knowledge, and the system then 're-initiates the information retrieval process' (Section 3.3; Figure 9 'Action: Retrieve relevant information'). This is an LLM-driven decision to retrieve, coded true with some uncertainty (?), since the retrieval itself may be system-executed.</t>
  </si>
  <si>
    <t xml:space="preserve">Agent Memory: The system maintains context within the iterative loop (short-term) to refine the layout based on previous evaluations. It does not mention persistent long-term memory across different tasks. Planning/Reflection: The 'Thinking' stage explicitly assesses information completeness and plans the next step, and the 'Evaluation' stage reflects on the generated output to identify issues. Tool Use: The LLM does not dynamically decide to call external tools at runtime; the RAG retrieval is a fixed step in the pipeline triggered by the workflow, not a tool call decided by the LLM agent in the sense of Toolformer/ReAct where the LLM outputs a tool call instruction. The RAG is part of the fixed pipeline architecture.</t>
  </si>
  <si>
    <t xml:space="preserve">tool calling is not explizitly mentioned but principles of tool calling used see figure 9</t>
  </si>
  <si>
    <t xml:space="preserve">D075</t>
  </si>
  <si>
    <r>
      <rPr>
        <b val="true"/>
        <sz val="10"/>
        <rFont val="Arial"/>
        <family val="0"/>
        <charset val="1"/>
      </rPr>
      <t xml:space="preserve">or_substrate.optimization_tradition_present
</t>
    </r>
    <r>
      <rPr>
        <i val="true"/>
        <sz val="8"/>
        <color rgb="FF595959"/>
        <rFont val="Arial"/>
        <family val="0"/>
        <charset val="1"/>
      </rPr>
      <t xml:space="preserve">
Type: bool
True only if the proposed method itself formulates or solves an optimization/OR problem (e.g., a MILP, a metaheuristic or RL search, an MCDM ranking, a solver call, or an LLM-generated model that is then solved). False if optimization appears only in the introduction, related work, or background, or only as a baseline the method is compared against; note such mentions in the reasoning.</t>
    </r>
  </si>
  <si>
    <t xml:space="preserve">Borderline case (?). The proposed method has no mathematical program, no solver and no metaheuristic. Instead, an LLM (Mixtral 8x7B) generates shopfloor layouts, i.e., coordinates of rectangular equipment in 2D. It does this inside an iterative 'think-generate-evaluate' loop (Sec. 3.3). Each round's layout is checked against constraints (safety distances, boundaries, overlap/interference) and layout-pattern requirements, and the next round refines it. The task is framed as a facility layout problem: 'determine the positioning and arrangement of these elements… to meet design conditions and achieve specific design objectives' (Sec. 3.2.1). Results are scored on space utilization and constraint satisfaction (Sec. 4.2, Table 2). This amounts to an LLM-driven iterative search over a constrained layout problem, so it is coded as present. However, the authors explicitly distance the work from optimization: 'generative methods are not directly comparable to traditional approaches' (Sec. 4.2). Classical optimization (SLP-based GA, PSO, SA, RL) appears only in the Introduction and Related Work.</t>
  </si>
  <si>
    <t xml:space="preserve">The paper proposes a method based on Large Language Models (LLMs) and Prompt Engineering to generate shopfloor layouts. It explicitly states in Section 4.2 that 'In traditional workshop layout methods, the layout is developed using mathematical models and optimization algorithms... In contrast, language models are data-driven and generative'. The proposed method does not formulate or solve a formal optimization problem (like MILP, metaheuristic, or RL) itself; instead, it uses LLM reasoning (Chain-of-Thought, ReAct-style iteration) to generate solutions. Optimization algorithms are only mentioned in the Introduction and Related Works as background or traditional approaches, not as part of the proposed method's core mechanism.</t>
  </si>
  <si>
    <t xml:space="preserve">see reasoning r2</t>
  </si>
  <si>
    <t xml:space="preserve">D076</t>
  </si>
  <si>
    <r>
      <rPr>
        <b val="true"/>
        <sz val="10"/>
        <rFont val="Arial"/>
        <family val="0"/>
        <charset val="1"/>
      </rPr>
      <t xml:space="preserve">or_substrate.formalization_level
</t>
    </r>
    <r>
      <rPr>
        <i val="true"/>
        <sz val="8"/>
        <color rgb="FF595959"/>
        <rFont val="Arial"/>
        <family val="0"/>
        <charset val="1"/>
      </rPr>
      <t xml:space="preserve">
Type: FormalizationLevel
Formalization level of the optimization the proposed method itself performs; 'none' iff optimization_tradition_present is false.
 Types: - high: Explicit mathematical program (variables, objective, constraints) solved exactly or to a bound
- medium: Explicit objective and constraints, solved by approximate search or scoring (metaheuristic, RL, simulation-optimization, MCDM)
- low: Objective/criteria named informally; no formal model
- none: No optimization tradition present</t>
    </r>
  </si>
  <si>
    <t xml:space="preserve">Only R1: low | Only R2: none</t>
  </si>
  <si>
    <t xml:space="preserve">low</t>
  </si>
  <si>
    <t xml:space="preserve">No explicit objective function or formal model is stated. Constraints are described in structured JSON/text form (comprehensive and relationship constraints, Sec. 3.2.2, Fig. 6). Objectives such as space utilization and layout-pattern conformity are named informally and are evaluated by the LLM plus human decision-making (Fig. 9). Hence the level is low.</t>
  </si>
  <si>
    <t xml:space="preserve">Since the proposed method does not perform formal optimization (optimization_tradition_present is false), the formalization level is 'none'. The method relies on semantic representation and prompt engineering rather than mathematical programming.</t>
  </si>
  <si>
    <t xml:space="preserve">see optimization method present</t>
  </si>
  <si>
    <t xml:space="preserve">D077</t>
  </si>
  <si>
    <r>
      <rPr>
        <b val="true"/>
        <sz val="10"/>
        <rFont val="Arial"/>
        <family val="0"/>
        <charset val="1"/>
      </rPr>
      <t xml:space="preserve">or_substrate.optimization_paradigm
</t>
    </r>
    <r>
      <rPr>
        <i val="true"/>
        <sz val="8"/>
        <color rgb="FF595959"/>
        <rFont val="Arial"/>
        <family val="0"/>
        <charset val="1"/>
      </rPr>
      <t xml:space="preserve">
Type: list[OptimizationParadigm]
All optimization paradigms the method itself uses; non-empty iff optimization_tradition_present is true.
 Types: - MILP-LP: Linear or mixed-integer linear program
- NLP: Nonlinear (incl. MINLP, quadratic) program
- CP: Constraint programming / SAT
- stochastic-robust: Stochastic, robust or chance-constrained program
- metaheuristic: Metaheuristic or constructive heuristic (GA, SA, tabu, ...)
- RL: Reinforcement learning
- MCDM: Multi-criteria decision making (AHP, TOPSIS, PROMETHEE, ...)
- simulation-optimization: Optimization over a simulation model
- other: Other paradigm (specify)</t>
    </r>
  </si>
  <si>
    <t xml:space="preserve">Only R1: other</t>
  </si>
  <si>
    <t xml:space="preserve">The search is performed by prompting an LLM iteratively: CoT/ReAct-inspired think-generate-evaluate cycles with RAG retrieval of equipment knowledge (Word2vec + cosine similarity). None of the listed paradigms (MILP, metaheuristic, RL, etc.) applies.</t>
  </si>
  <si>
    <t xml:space="preserve">No optimization paradigm is used by the proposed method. The method uses LLM generation and iterative reasoning (Think-Generate-Evaluate), which is not classified as a standard OR optimization paradigm in this schema. Traditional paradigms like metaheuristics or RL are mentioned only as related work or baselines, not as the method's own optimization engine.</t>
  </si>
  <si>
    <t xml:space="preserve">D078</t>
  </si>
  <si>
    <r>
      <rPr>
        <b val="true"/>
        <sz val="10"/>
        <rFont val="Arial"/>
        <family val="0"/>
        <charset val="1"/>
      </rPr>
      <t xml:space="preserve">or_substrate.other_optimization_paradigm_specification
</t>
    </r>
    <r>
      <rPr>
        <i val="true"/>
        <sz val="8"/>
        <color rgb="FF595959"/>
        <rFont val="Arial"/>
        <family val="0"/>
        <charset val="1"/>
      </rPr>
      <t xml:space="preserve">
Type: str | None
Free-text specification of the paradigm. Required if 'other' was selected, otherwise null.</t>
    </r>
  </si>
  <si>
    <t xml:space="preserve">LLM-based generative iterative refinement (prompt-engineered think-generate-evaluate loop with RAG and human/LLM evaluation) for constrained 2D facility layout</t>
  </si>
  <si>
    <t xml:space="preserve">parent value removed/none → field structurally inapplicable (D077)</t>
  </si>
  <si>
    <t xml:space="preserve">D079</t>
  </si>
  <si>
    <r>
      <rPr>
        <b val="true"/>
        <sz val="10"/>
        <rFont val="Arial"/>
        <family val="0"/>
        <charset val="1"/>
      </rPr>
      <t xml:space="preserve">or_substrate.llm_or_role
</t>
    </r>
    <r>
      <rPr>
        <i val="true"/>
        <sz val="8"/>
        <color rgb="FF595959"/>
        <rFont val="Arial"/>
        <family val="0"/>
        <charset val="1"/>
      </rPr>
      <t xml:space="preserve">
Type: list[LLMORRole]
All roles the LLM plays relative to the optimizer, pick all applicable; 'none' (exclusive) if there is no optimizer or the LLM does not interact with it.
 Types: - formulator: Translates natural language into an optimization model or solver code
- direct-optimizer: LLM itself proposes and iteratively improves solutions (OPRO-style)
- heuristic-designer: LLM designs or evolves algorithms/heuristics that are then run
- solver-orchestrator: LLM calls a solver as a tool and handles inputs/outputs
- result-interpreter: LLM explains solutions or answers what-if questions on them (OptiGuide-style)
- verifier: LLM checks models or solutions for errors, feasibility or plausibility
- none: No optimizer in the method, or the LLM does not interact with it</t>
    </r>
  </si>
  <si>
    <t xml:space="preserve">Only R1: verifier</t>
  </si>
  <si>
    <t xml:space="preserve">direct-optimizer; verifier</t>
  </si>
  <si>
    <t xml:space="preserve">direct-optimizer</t>
  </si>
  <si>
    <t xml:space="preserve">The LLM itself proposes layout solutions as JSON coordinates and refines them over iterations based on evaluation feedback (Sec. 3.3, Fig. 9), which fits 'direct-optimizer' (?). In the evaluation stage, 'LLMs Assessment' combined with human decision-making checks whether outcomes align with the layout pattern and which constraints are not fulfilled (Fig. 9), which fits 'verifier'. No external solver is used.</t>
  </si>
  <si>
    <t xml:space="preserve">The LLM acts as the primary engine for generating and refining the layout solution. Section 3.3 describes a 'Multi-step reasoning iteration' where the LLM performs 'thinking, generation, and evaluation' to iteratively improve the layout. This aligns with the 'direct-optimizer' role where the LLM itself proposes and iteratively improves solutions, rather than just formulating a model for an external solver or designing a heuristic algorithm to be run separately. It does not call an external solver (solver-orchestrator) nor does it primarily verify existing solutions (verifier) in the context of an external optimizer.</t>
  </si>
  <si>
    <t xml:space="preserve">Option A (decided in chat): no optimizer in the method (D075 = FALSE) → none; iterative refinement documented under workflow_patterns (evaluator-optimizer)</t>
  </si>
  <si>
    <t xml:space="preserve">D080</t>
  </si>
  <si>
    <r>
      <rPr>
        <b val="true"/>
        <sz val="10"/>
        <rFont val="Arial"/>
        <family val="0"/>
        <charset val="1"/>
      </rPr>
      <t xml:space="preserve">or_substrate.optimization_description
</t>
    </r>
    <r>
      <rPr>
        <i val="true"/>
        <sz val="8"/>
        <color rgb="FF595959"/>
        <rFont val="Arial"/>
        <family val="0"/>
        <charset val="1"/>
      </rPr>
      <t xml:space="preserve">
Type: str | None
Free-text description of what is formulated and optimized as reported: decision variables, objective function, constraints.</t>
    </r>
  </si>
  <si>
    <t xml:space="preserve">Decision variables: 2D positions (x, z) of rectangular equipment with known length and width, kept parallel to the shopfloor boundaries. Constraints: comprehensive constraints (building, area and channel boundaries; safety distance to structures) and relationship constraints (inter-equipment safety gaps, maintenance space, no overlap or interference), plus a required layout pattern (I-, L- or U-shaped). Objectives/evaluation criteria (informal): completeness/compliance, space utilization, layout-requirement satisfaction and constraint satisfaction. These are pursued through iterative LLM generation and evaluation rather than a formal objective function.</t>
  </si>
  <si>
    <t xml:space="preserve">parent value removed/none → field structurally inapplicable (D075)</t>
  </si>
  <si>
    <t xml:space="preserve">D081</t>
  </si>
  <si>
    <t xml:space="preserve">Author-built spatial-reasoning Q&amp;A dataset (340 questions; categories: absolute/relative position 57, coordinate transformation 85, spatial relationship 107, circumstances 91); not public</t>
  </si>
  <si>
    <t xml:space="preserve">Author-constructed Q&amp;A dataset (340 questions: 57 absolute/relative position, 85 coordinate transformation, 107 spatial relationship, 91 circumstances)</t>
  </si>
  <si>
    <t xml:space="preserve">Table 1 and Sec. 4.1 describe the dataset. It was derived from multi-source enterprise documents (motor manufacturing, machining workshops, textile companies), rewritten and augmented, then expert-reviewed. It cannot be made public because it contains proprietary enterprise information.</t>
  </si>
  <si>
    <t xml:space="preserve">Section 4.1 and Table 1 describe a specialized Q&amp;A dataset constructed by the authors to evaluate LLMs' spatial reasoning. The total number of questions is the sum of the counts in Table 1 (57+85+107+91 = 340). The dataset is not public due to proprietary enterprise information.</t>
  </si>
  <si>
    <t xml:space="preserve">same dataset and size; R1 adds availability/source detail</t>
  </si>
  <si>
    <t xml:space="preserve">D082</t>
  </si>
  <si>
    <t xml:space="preserve">Only R1: 15 | Only R2: 9</t>
  </si>
  <si>
    <t xml:space="preserve">9</t>
  </si>
  <si>
    <t xml:space="preserve">The Fig. 11 accuracy values are not stated numerically in the text and were read approximately from the bar chart, so they are uncertain ('?'). The Table 2 and Table 3 values are reported exactly. The Table 2 element counts are 8, 10 and 15.</t>
  </si>
  <si>
    <t xml:space="preserve">Metrics are extracted from Table 2 (Comparison of COT with proposed method) and Table 3 (Ablation study) in Section 4.2. The values are normalized scores (0-1) for space utilization, compliance, layout pattern accuracy, and constraint satisfaction. The Q&amp;A dataset accuracy is shown in Figure 11 but specific numerical values per model/category are not explicitly tabulated in text, only described qualitatively as 'high accuracy' and 'GPT-4 significantly outperformed'.</t>
  </si>
  <si>
    <t xml:space="preserve">D083</t>
  </si>
  <si>
    <t xml:space="preserve">Text differs (similarity 51%)</t>
  </si>
  <si>
    <t xml:space="preserve">340 Q&amp;A questions; case layouts with 8, 10 and 15 elements; ablation with 10 devices</t>
  </si>
  <si>
    <t xml:space="preserve">340 Q&amp;A items; 1 case study with 3 layout patterns (I, L, U) and varying element counts (8, 10, 15)</t>
  </si>
  <si>
    <t xml:space="preserve">The question count is summed from Table 1 (57+85+107+91=340). Element counts come from Table 2, and the ablation configuration from Sec. 4.2.</t>
  </si>
  <si>
    <t xml:space="preserve">Table 1 lists the number of questions per category (57+85+107+91=340). Section 4.2 describes the case study using a single shopfloor scenario with 3 layout patterns and testing with 8, 10, and 15 equipment elements.</t>
  </si>
  <si>
    <t xml:space="preserve">D084</t>
  </si>
  <si>
    <t xml:space="preserve">Text differs (similarity 15%)</t>
  </si>
  <si>
    <t xml:space="preserve">The method requires detailed equipment information, clearly known equipment constraints, and expert involvement during generation.; Layout reasoning becomes harder when device constraints are unknown or must be mined deeply, or when hard and soft constraints must be fully satisfied in complex scenarios, because the method relies on general LLM capability without downstream task adaptation or fine-tuning.; The problem is simplified to a 2D plane with rectangular equipment; the Q&amp;A dataset is small-scale and cannot be made public; and generative methods are not directly comparable to traditional optimization approaches.</t>
  </si>
  <si>
    <t xml:space="preserve">The method relies on sufficient support from detailed equipment information and clear knowledge of equipment constraints.; Layout reasoning is challenging when device constraints are unknown or need to be mined deeply.; The method mainly utilizes the generalized capability of the LLM without deeper downstream task adaptation training (fine-tuning).</t>
  </si>
  <si>
    <t xml:space="preserve">Drawn from Sec. 5 (Discussion), Sec. 3.2.1 (2D simplification), Sec. 4.1 (dataset not public, small-scale) and Sec. 4.2 (non-comparability with traditional methods).</t>
  </si>
  <si>
    <t xml:space="preserve">Section 5 (Discussion) explicitly states these limitations: 'It is important to note that the proposed method is suitable when there is sufficient support from detailed equipment information... layout reasoning will be more challenging when the constraints of the device are unknown... This is due to the fact that the method in this paper mainly utilizes the generalized capability of the large language model without deeper downstream task adaptation training.'</t>
  </si>
  <si>
    <t xml:space="preserve">The method requires detailed equipment information, clearly known equipment constraints, and expert involvement during generation.; Layout reasoning becomes harder when device constraints are unknown or must be mined deeply, or when hard and soft constraints must be fully satisfied in complex scenarios, because the method relies on general LLM capability without downstream task adaptation or fine-tuning.; The problem is simplified to a 2D plane with rectangular equipment; the Q&amp;A dataset is small-scale and cannot be made public; and generative methods are not directly comparable to traditional optimization approaches.; The method relies on sufficient support from detailed equipment information and clear knowledge of equipment constraints.; Layout reasoning is challenging when device constraints are unknown or need to be mined deeply.; The method mainly utilizes the generalized capability of the LLM without deeper downstream task adaptation training (fine-tuning).</t>
  </si>
  <si>
    <t xml:space="preserve">D085</t>
  </si>
  <si>
    <t xml:space="preserve">Text differs (similarity 1%)</t>
  </si>
  <si>
    <t xml:space="preserve">All four LLMs showed reasonably high accuracy on the spatial-reasoning Q&amp;A set, with GPT-4 best and Mixtral 8x7B performing surprisingly well. In the shopfloor case using Mixtral 8x7B, the proposed prompt-engineering method (structured JSON representation, RAG-based knowledge units, think-generate-evaluate iteration) outperformed a CoT baseline on space utilization, I/L/U layout pattern accuracy, and constraint satisfaction, especially as element count increased. Compliance was similar for both. Ablation showed that removing constraint representation sharply reduced constraint satisfaction (0.013), and that removing question decomposition or multi-step iteration also degraded results.</t>
  </si>
  <si>
    <t xml:space="preserve">The proposed method significantly outperforms the Chain-of-Thought (CoT) baseline in space utilization, layout pattern accuracy, and constraint satisfaction across different numbers of equipment elements. Ablation studies confirm that Question Decomposition, Constraint Representation, and Multi-step Iteration modules all contribute positively to the final layout quality, with Constraint Representation having a particularly strong impact on avoiding overlaps and conflicts.</t>
  </si>
  <si>
    <t xml:space="preserve">D086</t>
  </si>
  <si>
    <t xml:space="preserve">Only R2: approval-gate</t>
  </si>
  <si>
    <t xml:space="preserve">iterative-feedback</t>
  </si>
  <si>
    <t xml:space="preserve">iterative-feedback; approval-gate</t>
  </si>
  <si>
    <t xml:space="preserve">Section 3.3 and Figure 9: each iteration ends in an evaluation where a human ('Decision-making') and the LLM assess the generated layout and give "guidance for necessary adjustments". This identifies tasks to add to the queue for the next cycle, which steers the next iteration. In the COT baseline (Sec 4.2), experts also "continue to give appropriate layout knowledge and prompts for guidance", but that applies to the baseline, not the proposed method.</t>
  </si>
  <si>
    <t xml:space="preserve">The system uses an iterative loop where the human evaluates the generated layout and provides guidance for the next iteration ('iterative-feedback'). The evaluation step acts as a gate where the human decides if the layout is acceptable or needs adjustment ('approval-gate'). Section 3.3: 'The evaluation part is to evaluate the LLMs of the generated layout and make manual decisions... and guidance for necessary adjustments.'</t>
  </si>
  <si>
    <t xml:space="preserve">for “approval-gate” human actively needs to adapt output manually if something is wrong</t>
  </si>
  <si>
    <t xml:space="preserve">lower-case vocabulary term → proposed: iterative-feedback</t>
  </si>
  <si>
    <t xml:space="preserve">D087</t>
  </si>
  <si>
    <t xml:space="preserve">Text differs (similarity 10%)</t>
  </si>
  <si>
    <t xml:space="preserve">In the think-generate-evaluate loop, the evaluation stage combines LLM self-assessment with manual human decision-making. Together they check the layout against the layout pattern, constraints and overall requirements, and give adjustment guidance that defines the tasks for the next iteration.</t>
  </si>
  <si>
    <t xml:space="preserve">The system employs a 'think-generate-evaluate' loop. In the evaluation phase, a human expert reviews the generated layout, checks for constraint violations or logical errors, and provides feedback or adjustments to guide the next iteration of the LLM's reasoning and generation process.</t>
  </si>
  <si>
    <t xml:space="preserve">description follows consensus hitl_type (= R1, no approval-gate) (D086)</t>
  </si>
  <si>
    <t xml:space="preserve">D088</t>
  </si>
  <si>
    <t xml:space="preserve">structured-schema; mathematical-model</t>
  </si>
  <si>
    <t xml:space="preserve">structured-schema</t>
  </si>
  <si>
    <t xml:space="preserve">Structured-schema: the UML metamodel and JSON format for shopfloor/production line/equipment, including constraint fields (Sec 3.1, Figs 1-2). Mathematical-model: the 'Mathematical Model: For accurately quantifying equipment dimensions and spatial requirements' and the 2D coordinate representation of rectangular elements (Sec 3.2.1-3.2.2, Fig 5). The knowledge units (E, R) resemble a graph, but no explicit knowledge graph is described, and retrieval uses Word2vec plus cosine similarity. Knowledge graph was therefore not coded (?).</t>
  </si>
  <si>
    <t xml:space="preserve">The paper defines an 'information metamodel' with three levels (Shopfloor, Production Line, Equipment) and specific attributes for each. It uses JSON as the data format. This fits the definition of a 'structured-schema' (non-graph metamodel or schema for domain entities and constraints). It is not a formal ontology (OWL/RDF) or a knowledge graph in the traditional sense, but a structured data schema. Section 3.1: 'An information metamodel is a framework for describing and representing information... Three levels were designed...'.</t>
  </si>
  <si>
    <t xml:space="preserve">D089</t>
  </si>
  <si>
    <t xml:space="preserve">A hierarchical information metamodel (Shopfloor &gt; Production line &gt; Equipment) is encoded in JSON (DTDL-like ids, GLTF model references). Equipment attributes cover basic info, geometric info (work area, interference range, dimensions), position/rotation and layout constraints (inter/intra: building, area and channel boundaries; relationship constraints with target, relation, type, value and rules). Each piece of equipment has a mathematical, a text information and a constraint model. Knowledge units of elements and relations are retrieved via Word2vec/cosine RAG into the prompt templates. A parser validates the generated JSON and drives THREE.js 3D rendering.</t>
  </si>
  <si>
    <t xml:space="preserve">The domain knowledge is formalized as a three-level information metamodel: Shopfloor Level (macro functional areas), Production Line Unit Level (process carriers), and Equipment Level (basic layout elements). Each level has defined attributes such as UUID, display name, position, dimensions, and constraints (comprehensive and relational). This structure is serialized in JSON format to be used as input for the LLM.</t>
  </si>
  <si>
    <t xml:space="preserve">description follows consensus type (= R1) (D088)</t>
  </si>
  <si>
    <t xml:space="preserve">D090</t>
  </si>
  <si>
    <t xml:space="preserve">Only R1: expert-ground-truth</t>
  </si>
  <si>
    <t xml:space="preserve">custom-test-set; domain-specific-metric</t>
  </si>
  <si>
    <t xml:space="preserve">Custom-test-set: the authors' Q&amp;A dataset built from enterprise documents, and the case scenarios. Expert-ground-truth: Q&amp;A answers were designed and matched by professional team members, with expert review ("professional team members to design questions and match answers based on domain knowledge"). Domain-specific-metric: space utilization and constraint satisfaction (comprehensive/relational) in Table 2.</t>
  </si>
  <si>
    <t xml:space="preserve">The authors created a 'specialized Q&amp;A dataset' (Section 4.1) to test spatial reasoning, which is a custom test set. For the layout generation task, they use domain-specific metrics such as 'space utilization', 'compliance', and constraint satisfaction scores (Section 4.2, Table 2).</t>
  </si>
  <si>
    <t xml:space="preserve">D091</t>
  </si>
  <si>
    <t xml:space="preserve">Two parts. (1) A spatial-reasoning Q&amp;A benchmark covering absolute/relative position, coordinate transformation, spatial relationship and circumstances; accuracy is assessed per LLM. (2) Layout generation with Mixtral 8x7B (temperature 0.5) against a COT baseline (max 10 rounds) across element counts and layout shapes, using space utilization, compliance, layout requirement satisfaction and constraint satisfaction. An ablation of question decomposition, constraint representation and multi-step iteration used 10 devices in a U-shape with 6 iterations.</t>
  </si>
  <si>
    <t xml:space="preserve">The evaluation consists of two parts: 1) A custom Q&amp;A dataset covering absolute/relative position, coordinate transformation, spatial relationships, and practical scenarios to test LLM spatial cognition. 2) A case study comparison using metrics like space utilization, compliance, and constraint adherence (comprehensive and relational) to assess the quality of generated layouts against a COT baseline.</t>
  </si>
  <si>
    <t xml:space="preserve">description follows consensus type (= R1) (D090)</t>
  </si>
  <si>
    <t xml:space="preserve">D092</t>
  </si>
  <si>
    <r>
      <rPr>
        <b val="true"/>
        <sz val="10"/>
        <rFont val="Arial"/>
        <family val="0"/>
        <charset val="1"/>
      </rPr>
      <t xml:space="preserve">gap_indicators.automation_stage
</t>
    </r>
    <r>
      <rPr>
        <i val="true"/>
        <sz val="8"/>
        <color rgb="FF595959"/>
        <rFont val="Arial"/>
        <family val="0"/>
        <charset val="1"/>
      </rPr>
      <t xml:space="preserve">
Type: list[AutomationStage]
All information-processing stages the LLM system automates (Parasuraman et al. 2000).
 Types: - information-acquisition: Gathering and filtering input data/documents (intelligence)
- information-analysis: Integrating, interpreting, predicting; generating alternatives (intelligence/design)
- decision-selection: Evaluating and ranking alternatives, recommending or choosing one (choice)
- action-implementation: Carrying out the decision (writing it into a plan/system, triggering actions)</t>
    </r>
  </si>
  <si>
    <t xml:space="preserve">Only R1: action-implementation; information-acquisition | Only R2: decision-selection</t>
  </si>
  <si>
    <t xml:space="preserve">information-acquisition; information-analysis; action-implementation</t>
  </si>
  <si>
    <t xml:space="preserve">information-analysis; decision-selection</t>
  </si>
  <si>
    <t xml:space="preserve">Information-acquisition: RAG retrieval of equipment knowledge, plus a thinking step that identifies missing knowledge and re-retrieves (Sec 3.3). Information-analysis: the LLM generates layout schemes (positions/rotations in JSON) and evaluates them against constraints. Action-implementation: the generated JSON is parsed and rendered into a 3D scene via THREE.js (Sec 3.1). This is borderline, since it writes the plan into a visualization system (?). Final decision selection rests with human decision-making.</t>
  </si>
  <si>
    <t xml:space="preserve">The system analyzes the input layout requirements and equipment data to generate a layout plan (information-analysis/design). It then selects a specific arrangement of equipment that satisfies constraints (decision-selection). It does not implement the physical layout (action-implementation) nor does it primarily focus on acquiring raw data from sensors (information-acquisition), though it retrieves knowledge from a database (RAG). The core contribution is the generation of the layout plan itself.</t>
  </si>
  <si>
    <t xml:space="preserve">information-acquisition; information-analysis</t>
  </si>
  <si>
    <t xml:space="preserve">Information-acquisition: RAG retrieval of equipment knowledge; not decision-selection because it does not actively ranks the alternatives</t>
  </si>
  <si>
    <t xml:space="preserve">lower-case + "; " separator → proposed: information-acquisition; information-analysis</t>
  </si>
  <si>
    <t xml:space="preserve">D093</t>
  </si>
  <si>
    <r>
      <rPr>
        <b val="true"/>
        <sz val="10"/>
        <rFont val="Arial"/>
        <family val="0"/>
        <charset val="1"/>
      </rPr>
      <t xml:space="preserve">quality_appraisal.q2_empirical_or_demonstration_grounding
</t>
    </r>
    <r>
      <rPr>
        <i val="true"/>
        <sz val="8"/>
        <color rgb="FF595959"/>
        <rFont val="Arial"/>
        <family val="0"/>
        <charset val="1"/>
      </rPr>
      <t xml:space="preserve">
Type: AppraisalAnswer
Q2, read by study-type category (derived from validation_status): A: are metrics defined and results reported with context (sample size, variance, comparator)? B: is the artifact demonstrated on a case that exercises its core claims? C: is the argumentation internally consistent and traceable?
 Types: - Yes: Criterion fully met
- Partially: Criterion partly met
- No: Criterion not met</t>
    </r>
  </si>
  <si>
    <t xml:space="preserve">I treat this as category A/B (empirical comparison on a case).
Strengths:
- A Q&amp;A dataset (Table 1: 57/85/107/91 questions) was used to test four LLMs (Fig. 11).
- The method was compared with a CoT baseline on Mixtral 8x7B across element counts 8/10/15 and I/L/U layouts (Table 2).
- An ablation study is reported (Table 3).
Weaknesses:
- Metric definitions are only qualitative ('Space utilization measures the efficiency of space use…'); how scores such as layout-requirement accuracy are computed is unclear.
- No variance, no repeated runs and no statistical tests are reported.
- Sample sizes per Table 2 condition are not stated.
- The CoT baseline relies on experts giving guidance, and the evaluation is partly manual.
- Fig. 11 accuracies are shown only as bars.
- The case is a single small shopfloor.</t>
  </si>
  <si>
    <t xml:space="preserve">The paper provides a Q&amp;A dataset for spatial reasoning evaluation (Table 1, Figure 11) and a case study comparing the proposed method against Chain-of-Thought (COT) baselines (Table 2). It includes ablation studies (Table 3) and qualitative examples of generated layouts (Figure 12). Metrics such as space utilization, compliance, and constraint satisfaction are defined and reported.</t>
  </si>
  <si>
    <t xml:space="preserve">D094</t>
  </si>
  <si>
    <t xml:space="preserve">Sec. 5 notes the method 'is suitable when there is sufficient support from detailed equipment information and clear knowledge of equipment constraints, along with the need for expert involvement'. It also states that reasoning is 'more challenging when the constraints of the device are unknown' and that there is no downstream fine-tuning. The 2D simplification is acknowledged as an assumption (Sec. 3.2.1), and the inability to compare with traditional optimization methods is stated (Sec. 4.2). Missing from the discussion are threats to validity of the evaluation, such as the manual evaluation, the small dataset and the single case, as well as statistical robustness and scalability beyond 15 elements.</t>
  </si>
  <si>
    <t xml:space="preserve">Section 5 (Discussion) explicitly discusses limitations: the method relies on detailed equipment information and expert involvement; it struggles with unknown constraints or complex hard/soft constraint satisfaction without fine-tuning; and it notes that the current approach uses generalized LLM capabilities rather than downstream task adaptation. It also mentions the potential for Multi-Agent Systems as a future direction to handle complexity.</t>
  </si>
  <si>
    <t xml:space="preserve">D095</t>
  </si>
  <si>
    <t xml:space="preserve">Related work (Sec. 2) covers LLM spatial reasoning (3D-LLM, LayoutGPT, SpatialVLM), layout representations, and prompt engineering (CoT, ReAct, RAG). It identifies the gap: 'relatively little research on how to use large models to infer spatial and positional configurations through constraints'. Empirically, the paper compares only against CoT. It explicitly declines comparison with traditional optimization methods: 'generative methods are not directly comparable to traditional approaches.' Differentiation is therefore present but limited.</t>
  </si>
  <si>
    <t xml:space="preserve">Section 2 reviews related work in spatial reasoning of LLMs, layout structured representation, and prompt engineering. It explicitly contrasts the proposed method with traditional SLP, heuristic algorithms (GA, PSO), and reinforcement learning approaches (Klar et al.). It also differentiates from existing LLM layout works (LayoutGPT, 3D-LLM) by focusing on industrial shopfloor constraints and structured JSON representation.</t>
  </si>
  <si>
    <t xml:space="preserve">D096</t>
  </si>
  <si>
    <r>
      <rPr>
        <b val="true"/>
        <sz val="10"/>
        <rFont val="Arial"/>
        <family val="0"/>
        <charset val="1"/>
      </rPr>
      <t xml:space="preserve">consistency_flags
</t>
    </r>
    <r>
      <rPr>
        <i val="true"/>
        <sz val="8"/>
        <color rgb="FF595959"/>
        <rFont val="Arial"/>
        <family val="0"/>
        <charset val="1"/>
      </rPr>
      <t xml:space="preserve">
Type: list[str]
A6: soft cross-group consistency warnings for reviewers. Auto-computed, do not supply.</t>
    </r>
  </si>
  <si>
    <t xml:space="preserve">llm_or_role should be 'none' iff optimization_tradition_present is false</t>
  </si>
  <si>
    <t xml:space="preserve">Resolved by setting D079 = none (Option A). Consistency flag holds: D075 = FALSE (no optimization) but D079 consensus llm_or_role = 'direct-optimizer; verifier'. Set D079 to 'none' or revisit D075.</t>
  </si>
  <si>
    <t xml:space="preserve">D097</t>
  </si>
  <si>
    <r>
      <rPr>
        <b val="true"/>
        <sz val="10"/>
        <rFont val="Arial"/>
        <family val="0"/>
        <charset val="1"/>
      </rPr>
      <t xml:space="preserve">bibliographic_metadata.affiliations
</t>
    </r>
    <r>
      <rPr>
        <i val="true"/>
        <sz val="8"/>
        <color rgb="FF595959"/>
        <rFont val="Arial"/>
        <family val="0"/>
        <charset val="1"/>
      </rPr>
      <t xml:space="preserve">
Type: list[str]
Author affiliations as reported.</t>
    </r>
  </si>
  <si>
    <t xml:space="preserve">Text differs (similarity 68%)</t>
  </si>
  <si>
    <t xml:space="preserve">School of Information Science and Technology, ShanghaiTech University, Shanghai, China; Advanced Institute of Information Technology (AIIT), Peking University, Hangzhou, China; School of Entrepreneurship and Management, ShanghaiTech University, Shanghai, China</t>
  </si>
  <si>
    <t xml:space="preserve">School of Information Science and Technology ShanghaiTech University; Advanced Institute of Information Technology (AIIT), Peking University; School of Entrepreneurship and Management ShanghaiTech University</t>
  </si>
  <si>
    <t xml:space="preserve">D098</t>
  </si>
  <si>
    <t xml:space="preserve">Text differs (similarity 24%)</t>
  </si>
  <si>
    <t xml:space="preserve">National Natural Science Foundation of China (No. 62372298); National Key Research and Development Program of China (Grant 2022YFF0903302); Shanghai Engineering Research Center of Intelligent Vision and Imaging; Shanghai Frontiers Science Center of Human-centered Artificial Intelligence (ShangHAI); MoE Key Laboratory of Intelligent Perception and Human-Machine Collaboration (KLIP-HuMaCo)</t>
  </si>
  <si>
    <t xml:space="preserve">National Natural Science Foundation of China, National Key Research and Development Program of China, Shanghai Engineering Research Center of Intelligent Vision and Imaging, Shanghai Frontiers Science Center of Human-centered Artificial Intelligence (ShangHAI), MoE Key Laboratory of Intelligent Perception and HumanMachine Collaboration (KLIP-HuMaCo)</t>
  </si>
  <si>
    <t xml:space="preserve">D099</t>
  </si>
  <si>
    <t xml:space="preserve">Text differs (similarity 100%)</t>
  </si>
  <si>
    <t xml:space="preserve">This research was supported by the National Natural Science Foundation of China (No. 62372298), the National Key Research and Development Program of China under Grant 2022YFF0903302, the Shanghai Engineering Research Center of Intelligent Vision and Imaging, the Shanghai Frontiers Science Center of Human-centered Artificial Intelligence (ShangHAI), and the MoE Key Laboratory of Intelligent Perception and Human-Machine Collaboration (KLIP-HuMaCo).</t>
  </si>
  <si>
    <t xml:space="preserve">This research was supported by the National Natural Science Foundation of China (No. 62372298), the National Key Research and Development Program of China under Grant 2022YFF0903302, the Shanghai Engineering Research Center of Intelligent Vision and Imaging, the Shanghai Frontiers Science Center of Human-centered Artificial Intelligence (ShangHAI), and the MoE Key Laboratory of Intelligent Perception and HumanMachine Collaboration (KLIP-HuMaCo).</t>
  </si>
  <si>
    <t xml:space="preserve">D100</t>
  </si>
  <si>
    <t xml:space="preserve">Text differs (similarity 35%)</t>
  </si>
  <si>
    <t xml:space="preserve">Manufacturing (paper products / paper packaging supply chain)</t>
  </si>
  <si>
    <t xml:space="preserve">Sec. 1 notes that partner selection matters "particularly within the manufacturing sector." The formative study experts are senior managers from manufacturing enterprises (Sec. 3.1). The dataset is "based on real-world data from the upstream and downstream paper packaging industry" (Sec. 5).</t>
  </si>
  <si>
    <t xml:space="preserve">The paper explicitly states in Section 1 that the focus is on 'partner selection... particularly within the manufacturing sector'. The dataset used in Section 5 is described as being from the 'upstream and downstream paper packaging industry', which is a manufacturing domain. The usage scenario in Section 6 involves a 'senior manager at Company-4838' in the 'paper products sector'.</t>
  </si>
  <si>
    <t xml:space="preserve">D101</t>
  </si>
  <si>
    <t xml:space="preserve">Text differs (similarity 26%)</t>
  </si>
  <si>
    <t xml:space="preserve">Supply chain partner selection in the paper products/paper packaging industry (35 anonymized firms, 8 quarters 2023-2024)</t>
  </si>
  <si>
    <t xml:space="preserve">Supply Chain Management</t>
  </si>
  <si>
    <t xml:space="preserve">Sec. 5 describes the dataset: "35 anonymized firms observed over eight quarters from 2023 to 2024," built from public tendering/bidding data. The usage scenario (Sec. 6) concerns Company-4838 in the paper products sector diversifying its customers toward green packaging, with competitors 6174 and 7437.</t>
  </si>
  <si>
    <t xml:space="preserve">The entire paper focuses on 'Supply Chain (SC)' partner selection. The abstract states: 'SCSimulator... for SC partner selection'. The case study in Section 6 and the user study in Section 7 both involve analyzing supply chain networks, supplier-customer relationships, and partner selection strategies within this domain.</t>
  </si>
  <si>
    <t xml:space="preserve">D102</t>
  </si>
  <si>
    <t xml:space="preserve">No statement found in which the authors frame the decision as configuring or designing the supply chain system. They describe simulating the 'evolution of SCs' and 'adaptive network structures'. Sec. 8.3 mentions 'edge formation and deletion in social networks', but this is an analogy rather than a design framing.</t>
  </si>
  <si>
    <t xml:space="preserve">The authors explicitly discuss 'SC evolution via adaptive network structures' and 'restructuring their SC relationships'. In Section 4.1.2, they describe agents 'formalizing partner decisions' and 'issuing termination Requests'. This is framed as configuring the network structure.</t>
  </si>
  <si>
    <t xml:space="preserve">D103</t>
  </si>
  <si>
    <t xml:space="preserve">Text differs (similarity 38%)</t>
  </si>
  <si>
    <t xml:space="preserve">Which supplier and customer relationships (supply chain network links) a focal firm initiates, maintains, or terminates, as simulated via LLM agents' plan/query/request/reply cycles.</t>
  </si>
  <si>
    <t xml:space="preserve">The decision determines the set of active supplier-customer links (partnerships) in the supply chain network for each firm, effectively configuring the network topology and partner base.</t>
  </si>
  <si>
    <t xml:space="preserve">system-configuring not stated (= R1); R2 wording frames it as stated (D102)</t>
  </si>
  <si>
    <t xml:space="preserve">D104</t>
  </si>
  <si>
    <t xml:space="preserve">SCSimulator is an exploratory visual analytics framework for supply chain partner selection. Each firm is modeled as an autonomous LLM agent in a multi-agent simulation that follows a four-stage request-response cycle per time step: Stage I Plan (the agent analyzes its SC network, features and global/firm-specific Knowledge to produce Plans with Reasons), Stage II Query (it translates Plans into industry constraints and weighted feature scores used by predefined query functions to rank Candidates), Stage III Request (it selects candidates and writes persuasive collaboration or termination requests), and Stage IV Reply (it accepts or declines incoming requests with reasons). Inputs are firm features, SC network links and user-editable Knowledge. Outputs are evolving supplier-customer networks plus textual CoT rationales. Non-LLM models complement the agents: per-firm regression explain models with Variational Graph Autoencoder embeddings, SHAP attribution, and a Horizon Extend forecasting model. Users intervene through an Adjustment View that lets them edit Knowledge, plans and candidates, and they can trace and branch simulation paths. A separate conversational LLM agent on the Upload Page helps map raw data into templates. The system supports what-if exploration rather than deterministic prediction.</t>
  </si>
  <si>
    <t xml:space="preserve">SCSimulator is an exploratory visual analytics framework that uses LLM-driven Multi-Agent Simulation (MAS) to assist in supply chain partner selection. Each company is modeled as an autonomous LLM agent that engages in a four-stage 'request-response' cycle (Plan, Query, Request, Reply) to simulate strategic interactions and network evolution. The system integrates Chain-of-Thought (CoT) reasoning from LLMs with quantitative explainable AI (XAI) techniques (SHAP) and predictive models (Random Forest, Lasso, etc.) to provide interpretable explanations of agent decisions and their impact on firm performance. Users can intervene by adjusting agent knowledge and parameters to explore different strategic scenarios.</t>
  </si>
  <si>
    <t xml:space="preserve">D105</t>
  </si>
  <si>
    <t xml:space="preserve">Only R1: GPT-4o (ChatGPT-4o) | Only R2: ChatGPT-4o</t>
  </si>
  <si>
    <t xml:space="preserve">GPT-4o (ChatGPT-4o); Gemini-2.5-flash; Qwen3-VL-Flash</t>
  </si>
  <si>
    <t xml:space="preserve">ChatGPT-4o; Gemini-2.5-flash; Qwen3-VL-Flash</t>
  </si>
  <si>
    <t xml:space="preserve">Table 1 (Sec. 5.1) evaluates the LLM-driven agent simulation with ChatGPT-4o, Gemini-2.5-flash and Qwen3-VL-Flash. ChatGPT-4o was selected as the default backbone and is used in the usage scenario (Sec. 6.2). Figure 1 shows 'GPT4o-mini' in a dropdown, but this model is not evaluated, so it is not listed. Section 10 states that ChatGPT and Gemini were used for manuscript editing and GitHub Copilot for coding; these uses fall outside the method. Nano Banana was used to generate a figure. Related-work systems (Smallville, InvAgent, AgentLens) are cited only.</t>
  </si>
  <si>
    <t xml:space="preserve">Section 5.1 (Table 1) explicitly lists these three models as the ones evaluated in the quantitative simulation experiments. The text states: 'Performance differences across the three LLMs are limited... ChatGPT-4o shows a small but consistent advantage... and is therefore selected as the default backbone model'. Section 6.2 also mentions configuring 'ChatGPT-4o as the LLM agent'.</t>
  </si>
  <si>
    <t xml:space="preserve">GPT-4o; Gemini-2.5-flash; Qwen3-VL-Flash</t>
  </si>
  <si>
    <t xml:space="preserve">D106</t>
  </si>
  <si>
    <t xml:space="preserve">All three LLMs serve as the backbone for the company agents in the technical evaluation. ChatGPT-4o was chosen as the default for subsequent experiments and the usage scenario. The model behind the Upload Page conversational agent is not specified.</t>
  </si>
  <si>
    <t xml:space="preserve">All three models were used as the backbone LLMs for the multi-agent simulation agents. ChatGPT-4o was selected as the default for subsequent experiments and the usage scenario due to slightly better performance metrics (ACC, F1) compared to Gemini and Qwen3.</t>
  </si>
  <si>
    <t xml:space="preserve">model naming GPT-4o (= R1) (D105)</t>
  </si>
  <si>
    <t xml:space="preserve">D107</t>
  </si>
  <si>
    <t xml:space="preserve">Only R1: N | Only R2: mixed</t>
  </si>
  <si>
    <t xml:space="preserve">N</t>
  </si>
  <si>
    <t xml:space="preserve">GPT-4o and Gemini-2.5-flash are proprietary. Qwen3-VL-Flash appears to be a hosted Alibaba API model, and Sec. 8.4.2 refers to API-based LLM access. Uncertain ('?'): Qwen3 has open-weight variants, but the 'Flash' tier is API-only.</t>
  </si>
  <si>
    <t xml:space="preserve">ChatGPT-4o and Gemini-2.5-flash are proprietary models (N). Qwen3-VL-Flash is part of the Qwen family, which typically includes open-weight models (Y), although the specific 'Flash' variant's weight availability can vary, the Qwen family is generally classified as open-weight in this context compared to the proprietary GPT/Gemini. Thus, the system uses a mix.</t>
  </si>
  <si>
    <t xml:space="preserve">D108</t>
  </si>
  <si>
    <t xml:space="preserve">Only R1: other; zero-shot</t>
  </si>
  <si>
    <t xml:space="preserve">zero-shot; CoT; structured-output; other</t>
  </si>
  <si>
    <t xml:space="preserve">CoT; structured-output</t>
  </si>
  <si>
    <t xml:space="preserve">The Appendix A prompts give instructions without examples (zero-shot) and ask for 'step-by-step thinking' (CoT, also stated in Sec. 4.1.3). They require 'strict JSON format' output (structured-output) and use role/persona prompting such as 'You are company {id}' and 'You are now an company manager'.</t>
  </si>
  <si>
    <t xml:space="preserve">Section 4.1.2 and Appendix A show prompts that request 'step-by-step thinking' (CoT) and strictly enforce 'strict JSON format' for outputs (structured-output). The prompts include role-playing instructions ('You are company...') which is a form of zero-shot/role prompting, but CoT and structured output are the most distinct technical features highlighted.</t>
  </si>
  <si>
    <t xml:space="preserve">D109</t>
  </si>
  <si>
    <t xml:space="preserve">Role/persona prompting (each agent prompted as a specific company/manager with company-specific knowledge).</t>
  </si>
  <si>
    <t xml:space="preserve">'other' kept in prompting_techniques → specification required; only R1 filled (D108)</t>
  </si>
  <si>
    <t xml:space="preserve">D110</t>
  </si>
  <si>
    <t xml:space="preserve">Only R1: parallelization</t>
  </si>
  <si>
    <t xml:space="preserve">prompt-chaining; parallelization</t>
  </si>
  <si>
    <t xml:space="preserve">prompt-chaining</t>
  </si>
  <si>
    <t xml:space="preserve">Within each agent, the Plan, Query, Request and Reply stages form a fixed chain in which each stage uses the previous stage's output (Appendix A prompts embed prior plans and queries). Figure 2 shows all agents executing the pipeline independently and in parallel, with results aggregated into the network state.</t>
  </si>
  <si>
    <t xml:space="preserve">Within each agent's turn, the process is a fixed sequence of four stages: Plan -&gt; Query -&gt; Request -&gt; Reply (Section 4.1.2). Each stage's output feeds into the next or is used to generate the next prompt. This is a fixed, developer-defined sequence of LLM calls, fitting the 'prompt-chaining' pattern. While the overall system is multi-agent, the internal workflow of each agent is a chain.</t>
  </si>
  <si>
    <t xml:space="preserve">internal workflow is a chain but whole system has several streams “within each company”</t>
  </si>
  <si>
    <t xml:space="preserve">D111</t>
  </si>
  <si>
    <r>
      <rPr>
        <b val="true"/>
        <sz val="10"/>
        <rFont val="Arial"/>
        <family val="0"/>
        <charset val="1"/>
      </rPr>
      <t xml:space="preserve">llm_intervention.integrations
</t>
    </r>
    <r>
      <rPr>
        <i val="true"/>
        <sz val="8"/>
        <color rgb="FF595959"/>
        <rFont val="Arial"/>
        <family val="0"/>
        <charset val="1"/>
      </rPr>
      <t xml:space="preserve">
Type: list[IntegrationType]
All external (non-LLM) components the LLM system calls or retrieves from, pick all applicable; 'none' is exclusive. Code only components of the paper's own method, not future work. Knowledge graphs are coded in gap_indicators.domain_knowledge_type, not here.
 Types: - RAG: Retrieval-augmented generation over a document/vector store
- solver: Mathematical optimization/OR solver (MILP, CP, heuristics), incl. tools wrapping one
- ML-model: Non-LLM predictive or explanatory ML model (regression, GNN, SHAP, forecasting)
- digital-twin: Digital twin integration
- simulation-platform: Simulation platform integration
- code-execution: Generated code is executed (Python interpreter, sandbox)
- database-SQL: Queries against a database (SQL or similar)
- enterprise-system: Enterprise system (ERP, MES, PLM, WMS, APS)
- CAD-GIS: CAD/layout tool or GIS / map service
- web-search-API: Web search or other external web API
- none: No external integration</t>
    </r>
  </si>
  <si>
    <t xml:space="preserve">Only R1: database-SQL | Only R2: simulation-platform</t>
  </si>
  <si>
    <t xml:space="preserve">ML-model; database-SQL</t>
  </si>
  <si>
    <t xml:space="preserve">ML-model; simulation-platform</t>
  </si>
  <si>
    <t xml:space="preserve">ML-model: regression explain models (Linear, Lasso, RF, Gradient Boosting) with VGAE embeddings, SHAP, and the Horizon Extend forecasting model (Sec. 4.1.3–4.1.4). database-SQL ('?'): predefined query functions retrieve and rank companies from the firm dataset using the LLM-generated industry constraints and weights (Stage II). The paper does not state that SQL is used, so this is the closest category. RAG is mentioned only as future work.</t>
  </si>
  <si>
    <t xml:space="preserve">The paper explicitly describes integrating predictive ML models (Random Forest, etc.) and SHAP for explanation (Section 4.1.3) and a simulation module for MAS (Section 4.1.2). These are external non-LLM components that the LLM system interacts with or relies upon for the overall framework functionality.</t>
  </si>
  <si>
    <t xml:space="preserve">ML-model</t>
  </si>
  <si>
    <t xml:space="preserve">not database-SQL because predefined queries are used, nozt simulation platform as no extrernal simulation platform is used by the system, the system as a whole is the simulation</t>
  </si>
  <si>
    <t xml:space="preserve">D112</t>
  </si>
  <si>
    <t xml:space="preserve">Only R1: low | Only R2: medium</t>
  </si>
  <si>
    <t xml:space="preserve">medium</t>
  </si>
  <si>
    <t xml:space="preserve">The only optimization-like step is a weighted-sum scoring of candidate firms under an industry filter. The weights and constraints are produced ad hoc by the LLM per plan (Listing 3). The paper gives no formal model with decision variables, an objective function or constraints. Final partner choice and acceptance are made by LLM reasoning, not by solving a model. This could arguably be coded 'medium', since the weighted score and industry filter are explicit (?), but given how lightweight and informal the step is, 'low' was chosen.</t>
  </si>
  <si>
    <t xml:space="preserve">The method uses explicit criteria (features like Technology, Operation, Reputation) and weights to score and rank candidates (MCDM). It also uses regression models (Lasso, Random Forest, etc.) for prediction and SHAP for explanation. However, it does not formulate a single global mathematical optimization program (like MILP) with hard constraints and a single objective function to be solved by a solver. Instead, it uses heuristic scoring and simulation-based evaluation. This fits the 'medium' level: explicit objective/criteria, solved by approximate search or scoring (MCDM/simulation).</t>
  </si>
  <si>
    <t xml:space="preserve">D113</t>
  </si>
  <si>
    <t xml:space="preserve">Only R2: simulation-optimization</t>
  </si>
  <si>
    <t xml:space="preserve">MCDM</t>
  </si>
  <si>
    <t xml:space="preserve">MCDM; simulation-optimization</t>
  </si>
  <si>
    <t xml:space="preserve">Stage II ranks candidates by weighted aggregation of features (Technology, Operation, Reputation, performance metric) subject to industry constraints. This is a simple weighted-sum MCDM scoring, consistent with the paper's description of MCDM as 'weighted aggregation models that combine criteria into composite scores for partner ranking' (Sec. 2.1). The game-theoretic aspect is realized through LLM agent interaction, not through a formal GT model.</t>
  </si>
  <si>
    <t xml:space="preserve">The core decision-making mechanism is MCDM, as agents use weighted criteria to select partners (Section 4.1.2). The overall framework is a simulation-based approach where the 'optimization' or decision quality is evaluated through multi-agent simulation and predictive modeling (Section 4.1.3, 5.1). The paper explicitly mentions integrating MCDM and Game Theory, and using simulation to explore outcomes.</t>
  </si>
  <si>
    <t xml:space="preserve">D114</t>
  </si>
  <si>
    <t xml:space="preserve">Only R1: formulator | Only R2: heuristic-designer; result-interpreter</t>
  </si>
  <si>
    <t xml:space="preserve">formulator</t>
  </si>
  <si>
    <t xml:space="preserve">result-interpreter; heuristic-designer</t>
  </si>
  <si>
    <t xml:space="preserve">In Stage II the LLM translates natural-language Plans into ranking criteria: an industry constraint set and feature weights in JSON. A predefined query function then executes these to rank candidates (Sec. 4.1.2, Listing 3). This most closely matches the 'formulator' role, though only for a simple scoring model (?). The LLM then selects among the ranked candidates in Stage III, but this is LLM reasoning, not iterative solution improvement.</t>
  </si>
  <si>
    <t xml:space="preserve">The LLM acts as a 'heuristic-designer' in the sense that it generates the decision logic (Plans, Requests, Replies) and the specific actions (which partners to seek/terminate) based on the context, effectively designing the heuristic behavior of the agent for each step. It also acts as a 'result-interpreter' by providing Chain-of-Thought (CoT) explanations for its decisions (Section 4.1.3, 8.2.1). It does not formulate a mathematical model or call a solver directly; it generates the decisions themselves.</t>
  </si>
  <si>
    <t xml:space="preserve">formulator; result-interpreter; heuristic-designer</t>
  </si>
  <si>
    <t xml:space="preserve">both valid reasonings</t>
  </si>
  <si>
    <t xml:space="preserve">"; " separator → proposed: formulator; result-interpreter; heuristic-designer</t>
  </si>
  <si>
    <t xml:space="preserve">D115</t>
  </si>
  <si>
    <t xml:space="preserve">Per agent and per Plan, the LLM specifies an industry constraint set and weighted scores over firm features (e.g., Technology, Operation, Reputation, performance metric). A predefined query function filters companies by industry and ranks them by weighted score to form a Candidate pool. The LLM then chooses targets for collaboration requests, and counterpart LLM agents accept or reject them. No explicit decision variables, objective function or formal constraints beyond the weighted-score ranking and industry filter are reported.</t>
  </si>
  <si>
    <t xml:space="preserve">The system models partner selection as a multi-agent simulation where each agent (company) uses an LLM to generate strategic plans. It employs an MCDM-like process where agents define weighted criteria (features) to rank potential partners. The 'optimization' is the selection of the best partner based on these weighted scores and strategic alignment, evaluated through simulation outcomes and predictive performance metrics (PageRank, etc.).</t>
  </si>
  <si>
    <t xml:space="preserve">formalization = medium (= R2); R1 states no explicit objective, which contradicts medium (D112)</t>
  </si>
  <si>
    <t xml:space="preserve">D116</t>
  </si>
  <si>
    <t xml:space="preserve">Only R1: single-case</t>
  </si>
  <si>
    <t xml:space="preserve">test-set; single-case; user-study</t>
  </si>
  <si>
    <t xml:space="preserve">test-set; user-study</t>
  </si>
  <si>
    <t xml:space="preserve">Three evaluation settings are used. (1) Technical evaluation (§5.1): simulated network evolution is compared against observed historical network data. The paper reports 80 independent runs on 4 key nodes, scored with ACC, Precision, Recall, F1, Gwet's AC1 and CR. This is coded as test-set. Also in §5, ten management master's students configured knowledge, reviewed simulation rounds and rated agent behavior on Likert scales (§5.2). (2) Usage scenario (§6): an illustrative case of Company 4838 in the paper products sector, based on sessions by P1 and P7, is coded as single-case. (3) User study (§7): 12 participants completed think-aloud tasks and a questionnaire (NASA-TLX, usability, effectiveness), coded as user-study. Comparing three LLM backbones is not a controlled comparison of conditions with the method versus without it, so quasi-experimental is not coded.</t>
  </si>
  <si>
    <t xml:space="preserve">The paper reports a 'Technical Evaluation' (Section 5) which includes a quantitative evaluation against observed data (test-set) and an expert-based subjective evaluation. It also reports a 'User Study' (Section 7) with 12 participants performing tasks. The usage scenario (Section 6) is illustrative and not a formal study design type in the schema, but the underlying data is part of the test-set evaluation.</t>
  </si>
  <si>
    <t xml:space="preserve">D117</t>
  </si>
  <si>
    <t xml:space="preserve">Only R1: artificial | Only R2: both</t>
  </si>
  <si>
    <t xml:space="preserve">artificial</t>
  </si>
  <si>
    <t xml:space="preserve">All episodes are artificial. The technical evaluation uses a constructed historical test set. The expert evaluation and the user study are lab-based task sessions. The usage scenario is illustrative, with modifications. Although the data come from real public sources, there is no deployment in a real organisation. The authors acknowledge 'short-term, laboratory-based settings' (§8.4.1).</t>
  </si>
  <si>
    <t xml:space="preserve">The quantitative evaluation (Section 5.1) is artificial, using a constructed dataset and comparing simulation outputs to observed historical data. The user study (Section 7) and expert evaluation (Section 5.2) involve human participants interacting with the system, which fits the naturalistic paradigm (real users, real problem context, though in a lab setting). The paper explicitly states the user study was conducted in 'short-term, laboratory-based settings' (Section 8.4.1), which aligns with the 'artificial' definition in the schema description for lab settings, but the involvement of real users for usability/effectiveness testing often leans towards naturalistic in broader HCI contexts. However, strictly following the schema definition: 'Artificial = lab, simulation...; naturalistic = real users, real problem, real organisation/system'. The user study is in a lab, so it is artificial. The quantitative eval is simulation/test-set, so it is artificial. Wait, the schema says 'naturalistic = real users, real problem, real organisation/system'. The user study uses 'real users' (students/managers) but in a 'lab' setting. The prompt definition for 'artificial' includes 'lab'. The prompt definition for 'naturalistic' includes 'real users'. This is a conflict. Let's look at the examples. Usually, lab user studies are considered artificial in strict DS research terms if they are not in the field. However, the schema definition for 'naturalistic' is 'real users, real problem, real organisation/system'. The user study participants are 'master's students' and 'managers' (Section 5.2, 7.1). They are real users. The problem is 'partner selection', a real problem. But the setting is a lab. Let's look at 'artificial': 'lab, simulation, test set, illustrative or invented case'. The user study is a lab study. The quantitative eval is a simulation/test set. Therefore, both are artificial. Let's re-read the schema definition carefully. 'Artificial = lab, simulation, test set, illustrative or invented case; naturalistic = real users, real problem, real organisation/system.' The user study is a lab study. So it is artificial. The quantitative eval is a simulation. So it is artificial. Thus, 'artificial' is the correct choice. Why did I think 'both'? Because 'real users' are involved. But the 'lab' qualifier in 'artificial' seems to take precedence for the setting. Let's check if there is any field deployment. No. So 'artificial' is the most accurate based on the 'lab' and 'simulation' components. However, often 'user study' implies a naturalistic element of human interaction. But the schema explicitly lists 'lab' under artificial. I will stick with 'artificial' as the primary paradigm because the core evaluation is simulation-based and the user study is lab-based. Wait, looking at the definition again: 'naturalistic = real users, real problem, real organisation/system'. The user study uses real users (students/managers) and a real problem (SC partner selection). Even if in a lab, the *nature* of the evaluation involves real humans solving a real problem. But the *setting* is lab. The schema definition for 'artificial' includes 'lab'. This suggests that any lab-based evaluation is artificial. I will select 'artificial'.</t>
  </si>
  <si>
    <t xml:space="preserve">D118</t>
  </si>
  <si>
    <t xml:space="preserve">Text differs (similarity 34%)</t>
  </si>
  <si>
    <t xml:space="preserve">Author-constructed paper packaging supply chain dataset: 35 anonymized firms observed over eight quarters (2023-2024). Network edges come from tendering/bidding relationships and node attributes from firm profiles (public sources cebpubservice.cn, gsxt.gov.cn). Temporal attributes were scored by experts on Operation, Technology and Reputation (0-100).</t>
  </si>
  <si>
    <t xml:space="preserve">SC dataset of 35 anonymized firms over 8 quarters (2023-2024) from the paper packaging industry</t>
  </si>
  <si>
    <t xml:space="preserve">§5 describes the dataset construction with domain experts. §7.2 states the same dataset was reused for the user study. §8.4.1 notes it is a relatively small, domain-specific dataset.</t>
  </si>
  <si>
    <t xml:space="preserve">Section 5 states: 'The final dataset comprises 35 anonymized firms observed over eight quarters from 2023 to 2024.' It was constructed in collaboration with domain experts based on real-world data from public sources.</t>
  </si>
  <si>
    <t xml:space="preserve">D119</t>
  </si>
  <si>
    <t xml:space="preserve">Only R1: 29 | Only R2: 13</t>
  </si>
  <si>
    <t xml:space="preserve">29</t>
  </si>
  <si>
    <t xml:space="preserve">13</t>
  </si>
  <si>
    <t xml:space="preserve">Values are taken from Table 1 (§5.1), Table 2 (§5.2) and Table 5 (§7.3). Table 5 contains an apparently malformed extra row in the Usability section; Q11 is recorded as 4.17/0.41 for both groups. MSE and runtime values shown in figure box plots for the regression models were not included because they are figure transcriptions of uncertain legibility.</t>
  </si>
  <si>
    <t xml:space="preserve">Metrics are extracted from Table 1 (Quantitative Evaluation), Table 2 (Expert Evaluation), and Table 5 (User Study Feedback). The paper reports performance metrics for the simulation against ground truth, expert ratings for agent behavior, and user study ratings for usability and effectiveness.</t>
  </si>
  <si>
    <t xml:space="preserve">D120</t>
  </si>
  <si>
    <t xml:space="preserve">Technical evaluation: 80 runs on 4 focal nodes (35-firm dataset). Expert evaluation: 10 evaluators x 5 simulation rounds each. User study: 12 participants (6 Research, 6 Enterprise).</t>
  </si>
  <si>
    <t xml:space="preserve">12 users (User Study), 10 experts (Expert Evaluation), 35 firms (Dataset)</t>
  </si>
  <si>
    <t xml:space="preserve">Sources: §5.1, §5.2 and §7.1 (Table 3).</t>
  </si>
  <si>
    <t xml:space="preserve">Section 7.1 states '12 new participants (P1-P12)'. Section 5.2 states 'ten master's students'. Section 5 states '35 anonymized firms'.</t>
  </si>
  <si>
    <t xml:space="preserve">D121</t>
  </si>
  <si>
    <t xml:space="preserve">Only R1: 20 | Only R2: 80</t>
  </si>
  <si>
    <t xml:space="preserve">20</t>
  </si>
  <si>
    <t xml:space="preserve">80</t>
  </si>
  <si>
    <t xml:space="preserve">§5.1 reports 80 independent runs on 4 key nodes, used to compute decision consistency (Gwet's AC1, CR). This implies about 20 runs per node if evenly distributed, but that split is not stated explicitly (uncertain '?'). No LLM judges outputs; judgments come from metrics against observed data and from human ratings. LLM cost, latency or tokens are not quantified. Only qualitative mention is made of simulation delays and of API performance constraints; the box-plot runtimes concern the regression models, not the LLM. No significance tests or confidence intervals are reported.</t>
  </si>
  <si>
    <t xml:space="preserve">Repeated runs: Section 5.1 states 'We conducted 80 independent runs'. LLM as judge: No LLM is used to judge the outputs; humans (experts/users) and quantitative metrics against ground truth are used. Efficiency metrics: No cost, latency, or token usage is reported in the results tables or text. Statistical testing: No p-values or confidence intervals are reported for the comparisons in Tables 1, 2, or 5.</t>
  </si>
  <si>
    <t xml:space="preserve">80 runs in total across 4 focal nodes; per-node split not reported</t>
  </si>
  <si>
    <t xml:space="preserve">R3 decision (pre-v0.10.0, integer field): 20 runs per node, i.e. the even split of the 80 runs in §5.1; the split itself is not stated in the paper.</t>
  </si>
  <si>
    <t xml:space="preserve">r3 decision: 20 runs</t>
  </si>
  <si>
    <t xml:space="preserve">v0.10.0: free text; stated total recorded instead of inferred split (decided in chat)</t>
  </si>
  <si>
    <t xml:space="preserve">D122</t>
  </si>
  <si>
    <t xml:space="preserve">Text differs (similarity 4%)</t>
  </si>
  <si>
    <t xml:space="preserve">Evaluation was short-term and laboratory-based, so long-term effects of SC decisions could not be captured.; No direct comparison with baseline systems was performed, due to a lack of suitable baselines.; The study relied on a small, domain-specific dataset (paper products sector), limiting generalizability.; The system supports only about 30-50 agents due to API-based LLM performance constraints. This scale is insufficient for rigorous quantitative validation, and agent behavioral controllability may degrade at larger scales.; The MAS supports only basic commercial interaction models (e.g., no bidding or fine-grained negotiation). Agents may act beyond realistic boundaries, e.g., cost-free deception or unfulfillable promises.; Persona-based prompts may lack specialized SC expertise. The framework is exploratory, not predictive, and achieves only moderate predictive alignment.</t>
  </si>
  <si>
    <t xml:space="preserve">The system is not intended for deterministic prediction but for exploring plausible decision trajectories.; The current implementation operates with 30 to 50 agents, which is insufficient for rigorous quantitative validation and large-scale MAS.; The study was conducted in short-term, laboratory-based settings, and no direct comparisons with baseline systems were included.</t>
  </si>
  <si>
    <t xml:space="preserve">Drawn from §8.4.1, §8.4.2, §8.1.2, §8.2.3, §7.3.3 and §5.1.</t>
  </si>
  <si>
    <t xml:space="preserve">Section 5.1: 'the framework is not intended for deterministic prediction'. Section 8.1.2: 'this scale is insufficient for rigorous quantitative validation'. Section 8.4.1: 'conducted in short-term, laboratory-based settings... we did not include direct comparisons with baseline systems'.</t>
  </si>
  <si>
    <t xml:space="preserve">Evaluation was short-term and laboratory-based, so long-term effects of SC decisions could not be captured.; No direct comparison with baseline systems was performed, due to a lack of suitable baselines.; The study relied on a small, domain-specific dataset (paper products sector), limiting generalizability.; The system supports only about 30-50 agents due to API-based LLM performance constraints. This scale is insufficient for rigorous quantitative validation, and agent behavioral controllability may degrade at larger scales.; The MAS supports only basic commercial interaction models (e.g., no bidding or fine-grained negotiation). Agents may act beyond realistic boundaries, e.g., cost-free deception or unfulfillable promises.; Persona-based prompts may lack specialized SC expertise. The framework is exploratory, not predictive, and achieves only moderate predictive alignment.; The system is not intended for deterministic prediction but for exploring plausible decision trajectories.; The current implementation operates with 30 to 50 agents, which is insufficient for rigorous quantitative validation and large-scale MAS.; The study was conducted in short-term, laboratory-based settings, and no direct comparisons with baseline systems were included.</t>
  </si>
  <si>
    <t xml:space="preserve">D123</t>
  </si>
  <si>
    <t xml:space="preserve">The LLM-driven MAS achieved moderate alignment with observed network evolution (best: ChatGPT-4o, ACC 72.43%, F1 63.11%) and high decision consistency (Gwet's AC1 81-98%). ChatGPT-4o was selected as the default backbone. Expert raters judged agent plans, responses and knowledge adherence as reasonable (means 4.3-4.7), but candidate selection was rated lower (3.7). Agents acted conservatively without expert knowledge and sometimes overreacted with it. The usage scenario illustrated how a radical strategy led to performance decline while a gradual strategy secured new partners, using SHAP alongside CoT explanations. In the 12-participant user study, ratings were positive for workload, usability and effectiveness. Learnability was low (Q9 ~1.3-1.7), and the Focus View required facilitator guidance. Participants valued the combination of SHAP-based quantitative anchors with CoT reasoning.</t>
  </si>
  <si>
    <t xml:space="preserve">SCSimulator demonstrates moderate alignment with historical observations in quantitative evaluation, with ChatGPT-4o showing the best performance. Expert evaluations indicate that agents formulate reasonable plans and adhere to knowledge, though candidate selection is rated lower. User studies show high usability and effectiveness, with participants valuing the integration of qualitative CoT reasoning and quantitative SHAP explanations, though learnability and mental demand are noted as areas for improvement.</t>
  </si>
  <si>
    <t xml:space="preserve">D124</t>
  </si>
  <si>
    <t xml:space="preserve">Users map raw data to templates with a conversational LLM agent and review or modify the mappings. They configure models and parameters in the Control Panel and edit global or firm-specific Knowledge that steers agents. After each simulation run, they inspect results in the Global and Focus Views (SHAP plus CoT explanations). In the Adjustment View they modify individual agents' plans, candidates and request outcomes at selected timestamps. Confirmed changes create new branches recorded in the Simulation Path View, which supports exploration of alternative trajectories and export of logs.</t>
  </si>
  <si>
    <t xml:space="preserve">SCSimulator allows users to map raw data, configure parameters, and run simulations. During the simulation, users can intervene by modifying agent Knowledge, adjusting Plans, and editing Candidate lists (Accept/Reject/Modify) in the Adjustment View. Users can also branch simulation paths to explore different scenarios. The system records these interventions in the Simulation Path View.</t>
  </si>
  <si>
    <t xml:space="preserve">D125</t>
  </si>
  <si>
    <t xml:space="preserve">Only R2: relational-database</t>
  </si>
  <si>
    <t xml:space="preserve">structured-schema; relational-database</t>
  </si>
  <si>
    <t xml:space="preserve">The supply-chain data template (supplier/customer network edges, temporal and non-temporal firm features) and the JSON output schemas used by the query functions form a non-graph schema for domain entities and constraints (Sec 4.1.1, Sec 4.2.1, Appendix A). The four-stage request-response cycle could arguably be read as a simulation blueprint, but it is not coded as code-template here.</t>
  </si>
  <si>
    <t xml:space="preserve">1. Structured-schema: The system maps raw data to 'structured templates' (Section 4.2.1) and uses strict JSON formats for agent interactions (Appendix A). The 'Knowledge' is defined as a specific component of the firm profile (Section 4.1.1). 2. Relational-database: The dataset comprises 'SC network structure and firm-level attributes' (Section 5), with firms as nodes and relationships as edges, stored in a way that supports querying and ranking (Section 4.1.2, Stage II).</t>
  </si>
  <si>
    <t xml:space="preserve">D126</t>
  </si>
  <si>
    <t xml:space="preserve">Supply-chain data is structured into a template. Network holds temporal supplier-customer links. Feature holds firm attributes, including expert-scored Operation, Technology and Reputation, plus industry. Knowledge holds free-text global and firm-specific context. Agents produce structured JSON plans and query constraints (industry sets, weighted feature scores), which predefined query functions use to rank candidates. Regression models (SC Explain Model with VGAE embeddings, and the Horizon Extend Model) together with SHAP quantify the influence of structure on performance.</t>
  </si>
  <si>
    <t xml:space="preserve">Domain knowledge is formalized into a tri-dimensional model: Network (temporal supplier-customer links), Feature (non-temporal and temporal attributes like industry, patents), and Knowledge (global and firm-specific strategic context). This is stored in a structured format that allows LLM agents to query and reason over it. The system also uses a 'Knowledge' panel where users can edit these representations directly.</t>
  </si>
  <si>
    <t xml:space="preserve">description follows consensus type (= R2, incl. relational-database) (D125)</t>
  </si>
  <si>
    <t xml:space="preserve">D127</t>
  </si>
  <si>
    <t xml:space="preserve">Only R2: expert-ground-truth</t>
  </si>
  <si>
    <t xml:space="preserve">custom-test-set; rubric</t>
  </si>
  <si>
    <t xml:space="preserve">custom-test-set: the authors constructed a paper-packaging SC dataset (35 firms, 8 quarters) with domain experts (Sec 5). rubric: 5-point Likert ratings appear in both the expert evaluation (Table 2) and the user study (Table 5). The ground truth is the historically observed network rather than expert decisions, so expert-ground-truth is not coded. The metrics (accuracy, F1, Gwet's AC1) are generic, not domain-specific.</t>
  </si>
  <si>
    <t xml:space="preserve">1. Custom-test-set: A specific SC dataset of 35 firms over 8 quarters was constructed for evaluation (Section 5). 2. Expert-ground-truth: Simulation outcomes were evaluated against 'observed network' (Section 5.1) and 'expert-based subjective evaluations' (Section 5.2). 3. Rubric: Likert scales (5-point) were used for subjective evaluation (Section 5.2) and user study feedback (Section 7.3).</t>
  </si>
  <si>
    <t xml:space="preserve">D128</t>
  </si>
  <si>
    <t xml:space="preserve">Text differs (similarity 12%)</t>
  </si>
  <si>
    <t xml:space="preserve">Quantitative evaluation: 80 runs on 4 focal firms with no user intervention, using ChatGPT-4o, Gemini-2.5-flash and Qwen3-VL-Flash. Predicted partner links were compared with observed next-quarter links (ACC 72.43% and F1 63.11% for ChatGPT), and decision consistency was measured via Gwet's AC1 and CR levels. Expert evaluation: 10 management master's students each ran five simulation rounds and rated plan reasonableness, candidate selection, responses and knowledge adherence on 5-point Likert scales. User study: 12 participants in Research and Enterprise groups completed an 80-min think-aloud task, followed by NASA-TLX, usability (Q7–Q12), effectiveness (Q13–Q17) and open-ended questions.</t>
  </si>
  <si>
    <t xml:space="preserve">Evaluation includes quantitative comparison of simulated vs. observed network evolution (Accuracy, F1, etc.) and decision consistency (Gwet's AC1). Subjective evaluation involves experts rating agent behavior on a 5-point scale. A user study with 12 participants assessed usability (NASA-TLX, SUS-like items) and effectiveness using Likert scales and open-ended feedback.</t>
  </si>
  <si>
    <t xml:space="preserve">description follows consensus type (= R1, no expert-ground-truth) (D127)</t>
  </si>
  <si>
    <t xml:space="preserve">D129</t>
  </si>
  <si>
    <t xml:space="preserve">Only R1: information-acquisition</t>
  </si>
  <si>
    <t xml:space="preserve">information-acquisition; information-analysis; decision-selection</t>
  </si>
  <si>
    <t xml:space="preserve">information-acquisition: an LLM agent maps raw data to structured templates (Sec 4.2.1), and query functions retrieve and rank candidates (Stage II). information-analysis: agents analyze their SC and Knowledge to formulate Plans with reasons (Stage I), while explain models with SHAP quantify impacts (Sec 4.1.3). decision-selection: agents select partners and accept or decline requests (Stages III–IV). Action implementation exists only within the simulated network, not in a real plan or system, so it is not coded.</t>
  </si>
  <si>
    <t xml:space="preserve">1. Information-analysis: Agents 'analyze its existing SC structure' and 'formulate a set of Plans' (Section 4.1.2, Stage I). They also 'identify potential partners' and 'rank a list of companies' (Section 4.1.2, Stage II). 2. Decision-selection: Agents 'select suitable companies as collaboration targets' (Section 4.1.2, Stage III) and 'assess the received proposals... either accepts or declines' (Section 4.1.2, Stage IV). The system does not implement the action in the real world (no action-implementation) and relies on user input for initial data (no full information-acquisition automation, though it maps data).</t>
  </si>
  <si>
    <t xml:space="preserve">D130</t>
  </si>
  <si>
    <t xml:space="preserve">The four-stage LLM MAS pipeline (Plan, Query, Request, Reply) is described in detail in §4.1.2, and the full prompt templates are given in Appendix A. The explain model is specified (VGAE embeddings plus Linear/Lasso/RF/GB regressors with SHAP, §4.1.3), as is the Horizon Extend Model (§4.1.4). Replication is still limited by several gaps: the 'predefined query functions' are not specified, VGAE hyperparameters are absent, decoding parameters are absent, and the dataset is constructed from public sources with expert scoring ('scored by experts along three dimensions'), but the scoring procedure is not fully specified.</t>
  </si>
  <si>
    <t xml:space="preserve">The paper provides a detailed breakdown of the system architecture in Section 4. It explicitly describes the backend engine components (Section 4.1), including the 'LLM-driven Multi-Agent Simulation' pipeline with four distinct stages (Plan, Query, Request, Reply) and the 'Supply Chain Explain Model' using specific algorithms (VGAE, Random Forest, Lasso, etc.). The frontend interface is also detailed with specific views (Global, Focus, Adjustment, Simulation Path). Crucially, Appendix A provides the full verbatim prompts used for each stage of the simulation, allowing for independent replication of the core logic.</t>
  </si>
  <si>
    <t xml:space="preserve">D131</t>
  </si>
  <si>
    <t xml:space="preserve">Text differs (similarity 63%)</t>
  </si>
  <si>
    <t xml:space="preserve">Massachusetts Institute of Technology (MIT); Microsoft Research; Microsoft</t>
  </si>
  <si>
    <t xml:space="preserve">MIT; Microsoft Research; Microsoft</t>
  </si>
  <si>
    <t xml:space="preserve">D132</t>
  </si>
  <si>
    <r>
      <rPr>
        <b val="true"/>
        <sz val="10"/>
        <rFont val="Arial"/>
        <family val="0"/>
        <charset val="1"/>
      </rPr>
      <t xml:space="preserve">bibliographic_metadata.country
</t>
    </r>
    <r>
      <rPr>
        <i val="true"/>
        <sz val="8"/>
        <color rgb="FF595959"/>
        <rFont val="Arial"/>
        <family val="0"/>
        <charset val="1"/>
      </rPr>
      <t xml:space="preserve">
Type: str
Country of the corresponding author.</t>
    </r>
  </si>
  <si>
    <t xml:space="preserve">USA</t>
  </si>
  <si>
    <t xml:space="preserve">United States</t>
  </si>
  <si>
    <t xml:space="preserve">format only; full country name</t>
  </si>
  <si>
    <t xml:space="preserve">D133</t>
  </si>
  <si>
    <t xml:space="preserve">Text differs (similarity 36%)</t>
  </si>
  <si>
    <t xml:space="preserve">Cloud computing / supply chain management (also chemical and automotive procurement examples)</t>
  </si>
  <si>
    <t xml:space="preserve">Cloud Computing / Technology</t>
  </si>
  <si>
    <t xml:space="preserve">Sec. 6 describes deployment in Microsoft's Azure cloud hardware supply chain ('Cloud computing is a multi-billion-dollar business...'). Sec. 7 gives procurement examples from the chemical industry and from automotive OEMs. These are secondary, third-party anecdotes, not the authors' own system.</t>
  </si>
  <si>
    <t xml:space="preserve">The primary case study and production deployment described in Section 6 is for 'Microsoft's Cloud Supply Chain', specifically Azure. The text states, 'Cloud computing is a multi-billion-dollar business... Azure, the Microsoft cloud...'. While other sectors like chemical and automotive are mentioned in Section 7, the core detailed implementation and evaluation are in the cloud/tech sector.</t>
  </si>
  <si>
    <t xml:space="preserve">D134</t>
  </si>
  <si>
    <t xml:space="preserve">Microsoft Azure cloud hardware supply chain: demand drift analysis and fulfillment plan (server/cluster deployment to datacenters) what-if Q&amp;A</t>
  </si>
  <si>
    <t xml:space="preserve">Supply Chain Management (Cloud Hardware Fulfillment &amp; Procurement)</t>
  </si>
  <si>
    <t xml:space="preserve">Sec. 6, Example 1 (Demand Drift Analysis) and Example 2 (Understanding Fulfillment Decisions): 'assigning and shipping servers from warehouses to data centers'. Testing also included 'synthetic examples from other domains, such as a manufacturing scenario with raw-material suppliers, factories and retailers'.</t>
  </si>
  <si>
    <t xml:space="preserve">The paper focuses on 'Supply Chain Management' (Abstract). Specifically, the main case study involves 'hardware deployment decisions', 'demand plan', and 'fulfillment plan' for cloud datacenters (Section 6). Secondary examples involve 'procurement decisions' in chemical and automotive industries (Section 7).</t>
  </si>
  <si>
    <t xml:space="preserve">D135</t>
  </si>
  <si>
    <t xml:space="preserve">Only R1: other | Only R2: SC-network-configuration</t>
  </si>
  <si>
    <t xml:space="preserve">resilience-risk-scenario-planning; other</t>
  </si>
  <si>
    <t xml:space="preserve">SC-network-configuration; resilience-risk-scenario-planning</t>
  </si>
  <si>
    <t xml:space="preserve">Sec. 4: the LLM translates what-if questions into small changes to the optimization model (e.g., adding constraints), and the supply chain tool re-solves. Sec. 5: interactive replanning for disruptions (facility down for seven days due to a winter storm; increased supplier lead time). These support resilience/disruption scenario analysis, but at plan level rather than network configuration ('?'). Core tasks not covered by the listed values (data insights, plan explanation, demand drift analysis, contract analysis in Sec. 3, 6, 7) are coded as 'other'.</t>
  </si>
  <si>
    <t xml:space="preserve">Section 1 mentions 'Network Strategy' and 'Supply Chain Resiliency'. Section 4 discusses answering what-if questions like 'Can we still fulfill all demand if we shut down factory F?' which relates to resilience/scenario planning. Section 6 describes 'fulfillment plan' which involves assigning hardware to datacenters, a form of network configuration/allocation. The LLM facilitates these tasks by translating natural language to optimization constraints/queries.</t>
  </si>
  <si>
    <t xml:space="preserve">D136</t>
  </si>
  <si>
    <t xml:space="preserve">LLM-based data discovery and insights (natural-language-to-SQL), explanation of optimization-based supply chain plans, what-if analysis by modifying optimization models (constraints) for S&amp;OP/fulfillment plans, demand drift analysis reports, and procurement contract compliance and template analysis.</t>
  </si>
  <si>
    <t xml:space="preserve">'other' kept in planning_task_type → specification required; only R1 filled (D135)</t>
  </si>
  <si>
    <t xml:space="preserve">D137</t>
  </si>
  <si>
    <r>
      <rPr>
        <b val="true"/>
        <sz val="10"/>
        <rFont val="Arial"/>
        <family val="0"/>
        <charset val="1"/>
      </rPr>
      <t xml:space="preserve">strategic_planning_scope.scp_process
</t>
    </r>
    <r>
      <rPr>
        <i val="true"/>
        <sz val="8"/>
        <color rgb="FF595959"/>
        <rFont val="Arial"/>
        <family val="0"/>
        <charset val="1"/>
      </rPr>
      <t xml:space="preserve">
Type: list[SCPProcess]
Process(es) of the Supply Chain Planning Matrix the decision concerns, pick all applicable; 'NA' (exclusive) if none applies.
 Types: - procurement: Procurement / sourcing (suppliers, materials)
- production: Production (plants, lines, capacities)
- distribution: Distribution (warehouses, transport, network to customers)
- sales: Sales (demand, markets, customer allocation)
- NA: No SCP process addressed (e.g., pure technology selection)</t>
    </r>
  </si>
  <si>
    <t xml:space="preserve">Only R1: sales</t>
  </si>
  <si>
    <t xml:space="preserve">procurement; production; distribution; sales</t>
  </si>
  <si>
    <t xml:space="preserve">procurement; production; distribution</t>
  </si>
  <si>
    <t xml:space="preserve">Procurement: raw material suppliers, supplier lead times (Sec. 3, 5) and procurement contract examples (Sec. 7). Production: factories and the question 'where should we produce' (Sec. 4). Distribution: shipping options, fulfillment plan shipping servers from warehouses to datacenters, warehouse deactivation (Sec. 3, 6). Sales: demand plan and demand drift analysis, demand increase what-ifs (Sec. 4, 6).</t>
  </si>
  <si>
    <t xml:space="preserve">The paper covers 'sourcing strategies' (procurement, Section 1), 'planning and execution' involving factories/production (Section 1, Section 5), and 'shipping'/'fulfillment' to datacenters/retailers (distribution, Section 3, Section 6). Section 7 explicitly discusses procurement examples. Section 6 discusses cloud hardware deployment which spans procurement (sourcing hardware) and distribution (shipping to datacenters).</t>
  </si>
  <si>
    <t xml:space="preserve">D138</t>
  </si>
  <si>
    <r>
      <rPr>
        <b val="true"/>
        <sz val="10"/>
        <rFont val="Arial"/>
        <family val="0"/>
        <charset val="1"/>
      </rPr>
      <t xml:space="preserve">strategic_planning_scope.time_horizon_explicitly_stated
</t>
    </r>
    <r>
      <rPr>
        <i val="true"/>
        <sz val="8"/>
        <color rgb="FF595959"/>
        <rFont val="Arial"/>
        <family val="0"/>
        <charset val="1"/>
      </rPr>
      <t xml:space="preserve">
Type: YesNoUnclear
Whether the paper explicitly states a time horizon (e.g., '5 years').
 Types: - Y: Clearly stated or clearly the case in the source
- N: Clearly not the case, or searched for and not found
- unclear: Source is ambiguous; explain in the sibling _reasoning column</t>
    </r>
  </si>
  <si>
    <t xml:space="preserve">Only R1: Y | Only R2: N</t>
  </si>
  <si>
    <t xml:space="preserve">Sec. 6 Background: 'the demand is exposed through a demand plan, which summarizes important information about demand requests for the next year or so.' This is a loose but explicit horizon statement for the planning data the method operates on. Other horizons mentioned are short-term (e.g., 'down for seven days', 'dock a certain demand a week earlier').</t>
  </si>
  <si>
    <t xml:space="preserve">The paper mentions 'next year or so' for the demand plan in Section 6, but this is a specific instance of a demand plan horizon, not a general strategic planning horizon defined by the method. The method itself is described as reducing time-to-decision from days/weeks to minutes/hours, implying operational/tactical agility rather than a fixed long-term strategic horizon. No explicit strategic time horizon (e.g., 5-10 years) is stated as the scope of the LLM method.</t>
  </si>
  <si>
    <t xml:space="preserve">D139</t>
  </si>
  <si>
    <r>
      <rPr>
        <b val="true"/>
        <sz val="10"/>
        <rFont val="Arial"/>
        <family val="0"/>
        <charset val="1"/>
      </rPr>
      <t xml:space="preserve">strategic_planning_scope.stated_horizon_value
</t>
    </r>
    <r>
      <rPr>
        <i val="true"/>
        <sz val="8"/>
        <color rgb="FF595959"/>
        <rFont val="Arial"/>
        <family val="0"/>
        <charset val="1"/>
      </rPr>
      <t xml:space="preserve">
Type: str
The horizon as stated by the authors, verbatim (e.g., '5 years', '2025-2035'). NR if none stated.</t>
    </r>
  </si>
  <si>
    <t xml:space="preserve">next year or so</t>
  </si>
  <si>
    <t xml:space="preserve">time horizon explicitly stated = Y → R1 value applies (D138)</t>
  </si>
  <si>
    <t xml:space="preserve">D140</t>
  </si>
  <si>
    <t xml:space="preserve">Only R2: Tactical</t>
  </si>
  <si>
    <t xml:space="preserve">Tactical</t>
  </si>
  <si>
    <t xml:space="preserve">No claim found. The authors refer to use cases including 'Network Strategy' and S&amp;OP (Sec. 1) but do not explicitly claim strategic, tactical or operational planning.</t>
  </si>
  <si>
    <t xml:space="preserve">The authors describe the technology as facilitating 'Sales and Operations Planning (S&amp;OP)' (Section 1) and reducing decision time to 'minutes and hours' (Abstract). S&amp;OP is a tactical planning process. They do not explicitly claim to be performing long-term strategic network design (e.g., 5-10 year horizon) but rather enabling better tactical/operational decisions using existing optimization tools.</t>
  </si>
  <si>
    <t xml:space="preserve">D141</t>
  </si>
  <si>
    <t xml:space="preserve">The LLM sits between supply-chain planners and existing supply-chain tools and data, which are not replaced. The flow has three steps. (1) A question handler receives a planner's plain-language question, appends in-context examples (question–code pairs from a repository), and sends it to the LLM. (2) The LLM translates the question into application code, such as a data query (e.g., SQL) or a small modification of the optimization model (e.g., adding a constraint for a what-if scenario). This code is run against the supply-chain tool (optimization solver) and/or the data repository. (3) The application output is passed through an interpreter and the LLM, again with in-context learning, to produce a plain-language answer. Proprietary data need not be passed to the LLM.
Use cases are data discovery and insights, what-if analysis, and interactive planning (e.g., re-planning around a disrupted facility, lead-time alarms). In production at Microsoft's cloud supply chain, two applications are deployed. The first is demand drift analysis: the LLM ingests demand plans from different periods and generates an email report of changes, root causes and potential errors. The second is a Q&amp;A/what-if system over the hardware fulfillment optimization, e.g., cost impact of docking demand a week earlier or deactivating a warehouse. This deployment reports about 90% accuracy and an estimated 23% saving of fulfillment investigation time. Procurement examples (contract template redesign, identifying unclaimed contract discounts) are also reported.</t>
  </si>
  <si>
    <t xml:space="preserve">The LLM system acts as an interface between supply chain planners and optimization tools/data repositories. It translates natural language queries into data science queries (SQL) or mathematical code (constraints/changes to optimization models), executes these via external tools (databases, solvers), and translates the numerical outputs back into human-readable insights, explanations, and what-if analysis results. It also supports interactive planning by updating models based on real-time business conditions.</t>
  </si>
  <si>
    <t xml:space="preserve">The LLM sits between supply-chain planners and existing supply-chain tools and data, which are not replaced. The flow has three steps. (1) A question handler receives a planner's plain-language question, appends in-context examples (question–code pairs from a repository), and sends it to the LLM. (2) The LLM translates the question into application code, such as a data query (e.g., SQL) or a small modification of the optimization model (e.g., adding a constraint for a what-if scenario). This code is run against the supply-chain tool (optimization solver) and/or the data repository. (3) The application output is passed through an interpreter and the LLM, again with in-context learning, to produce a plain-language answer. Proprietary data need not be passed to the LLM.Use cases are data discovery and insights, what-if analysis, and interactive planning (e.g., re-planning around a disrupted facility, lead-time alarms). In production at Microsoft's cloud supply chain, two applications are deployed. The first is demand drift analysis: the LLM ingests demand plans from different periods and generates an email report of changes, root causes and potential errors. The second is a Q&amp;A/what-if system over the hardware fulfillment optimization, e.g., cost impact of docking demand a week earlier or deactivating a warehouse. This deployment reports about 90% accuracy and an estimated 23% saving of fulfillment investigation time. Procurement examples (contract template redesign, identifying unclaimed contract discounts) are also reported.</t>
  </si>
  <si>
    <t xml:space="preserve">D142</t>
  </si>
  <si>
    <t xml:space="preserve">Only R1: Llama-2 (unspecified size) | Only R2: Llama-2</t>
  </si>
  <si>
    <t xml:space="preserve">GPT-4; Llama-2 (unspecified size); Phi-2</t>
  </si>
  <si>
    <t xml:space="preserve">GPT-4; Llama-2; Phi-2</t>
  </si>
  <si>
    <t xml:space="preserve">Section 6 'Evaluation and Deployment' states that multiple models were tested: 'in-context learning for the larger models such as GPT-4 (OpenAI), and fine-tuning for smaller open-sourced models such as Llama-2 from Meta and Phi-2 from Microsoft'. It also states that 'The current deployment uses GPT-4 and achieves around 90% accuracy.' Llama-2 and Phi-2 were evaluated but not deployed in production. Models mentioned only in Section 1 as general examples (Meta's Llama, Google's Palm/Gemini, OpenAI's GPT) are not listed. Small Language Models in general (Section 8) are future work. The procurement examples (Section 7) do not name models.</t>
  </si>
  <si>
    <t xml:space="preserve">Section 6 ('Evaluation and Deployment') states: 'Multiple language models and training approaches have been tested, including in-context learning for the larger models such as GPT-4 (OpenAI), and fine-tuning for smaller open-sourced models such as Llama-2 from Meta and Phi-2 from Microsoft.' It further states: 'The current deployment uses GPT-4...'. While Llama-2 and Phi-2 were tested, GPT-4 is the primary deployed model. All three are explicitly named as part of the evaluation/deployment process.</t>
  </si>
  <si>
    <t xml:space="preserve">no real disagreement</t>
  </si>
  <si>
    <t xml:space="preserve">D143</t>
  </si>
  <si>
    <t xml:space="preserve">Text differs (similarity 60%)</t>
  </si>
  <si>
    <t xml:space="preserve">GPT-4 is used with in-context learning and is the production model (about 90% accuracy). Llama-2 and Phi-2 were fine-tuned and tested as smaller open-source alternatives during evaluation; they are not in the current deployment.</t>
  </si>
  <si>
    <t xml:space="preserve">GPT-4 is used for in-context learning and is the current production deployment. Llama-2 and Phi-2 were tested with fine-tuning approaches as potential alternatives for smaller, open-source models.</t>
  </si>
  <si>
    <t xml:space="preserve">D144</t>
  </si>
  <si>
    <r>
      <rPr>
        <b val="true"/>
        <sz val="10"/>
        <rFont val="Arial"/>
        <family val="0"/>
        <charset val="1"/>
      </rPr>
      <t xml:space="preserve">llm_intervention.fine_tuning
</t>
    </r>
    <r>
      <rPr>
        <i val="true"/>
        <sz val="8"/>
        <color rgb="FF595959"/>
        <rFont val="Arial"/>
        <family val="0"/>
        <charset val="1"/>
      </rPr>
      <t xml:space="preserve">
Type: list[FineTuningType]
Fine-tuning method(s) applied, pick all applicable; 'none' is exclusive.
 Types: - none: No weight updates (prompting, in-context examples, RAG only)
- full-fine-tuning: All weights updated (supervised / instruction fine-tuning)
- LoRA: Low-Rank Adaptation, incl. QLoRA and other LoRA variants
- PEFT-other: Other parameter-efficient fine-tuning (adapters, prefix/prompt tuning, IA3)
- preference-optimization: Preference optimisation (RLHF, DPO, ORPO, KTO, ...)
- continued-pretraining: Continued / domain-adaptive pre-training on domain corpora
- distillation: Knowledge distillation from a larger teacher model
- other: Other fine-tuning method (specify)</t>
    </r>
  </si>
  <si>
    <t xml:space="preserve">Only R1: other | Only R2: full-fine-tuning</t>
  </si>
  <si>
    <t xml:space="preserve">full-fine-tuning</t>
  </si>
  <si>
    <t xml:space="preserve">Section 6 states that 'fine-tuning for smaller open-sourced models such as Llama-2 ... and Phi-2' was tested, but the method (full or parameter-efficient) is not specified. The deployed GPT-4 uses in-context learning only, with no weight updates.</t>
  </si>
  <si>
    <t xml:space="preserve">Section 6 mentions 'fine-tuning for smaller open-sourced models such as Llama-2... and Phi-2'. It does not specify LoRA or other PEFT methods, so 'full-fine-tuning' is the most accurate broad category for weight updates, or potentially 'other' if specific PEFT was used but not named. However, 'fine-tuning' is the term used. Given the options, 'full-fine-tuning' is the standard category for SFT/instruction tuning unless LoRA is specified. The paper contrasts 'fine-tuning' with 'in-context learning'.</t>
  </si>
  <si>
    <t xml:space="preserve">D145</t>
  </si>
  <si>
    <r>
      <rPr>
        <b val="true"/>
        <sz val="10"/>
        <rFont val="Arial"/>
        <family val="0"/>
        <charset val="1"/>
      </rPr>
      <t xml:space="preserve">llm_intervention.fine_tuning_description
</t>
    </r>
    <r>
      <rPr>
        <i val="true"/>
        <sz val="8"/>
        <color rgb="FF595959"/>
        <rFont val="Arial"/>
        <family val="0"/>
        <charset val="1"/>
      </rPr>
      <t xml:space="preserve">
Type: str | None
Free-text details of fine-tuning data and procedure as reported, if applicable.</t>
    </r>
  </si>
  <si>
    <t xml:space="preserve">Llama-2 and Phi-2 were fine-tuned during evaluation; the data and procedure are not reported. Presumably the training data are question–code pairs similar to the in-context repository (?).</t>
  </si>
  <si>
    <t xml:space="preserve">Fine-tuning was applied to smaller open-source models (Llama-2, Phi-2) using domain-specific data. In-context learning was used for larger models like GPT-4.</t>
  </si>
  <si>
    <t xml:space="preserve">fine_tuning = other, method not reported → R1 wording consistent (D144)</t>
  </si>
  <si>
    <t xml:space="preserve">D146</t>
  </si>
  <si>
    <r>
      <rPr>
        <b val="true"/>
        <sz val="10"/>
        <rFont val="Arial"/>
        <family val="0"/>
        <charset val="1"/>
      </rPr>
      <t xml:space="preserve">llm_intervention.other_fine_tuning_specification
</t>
    </r>
    <r>
      <rPr>
        <i val="true"/>
        <sz val="8"/>
        <color rgb="FF595959"/>
        <rFont val="Arial"/>
        <family val="0"/>
        <charset val="1"/>
      </rPr>
      <t xml:space="preserve">
Type: str | None
Free-text specification of the fine-tuning method. Required if 'other' was selected, otherwise null.</t>
    </r>
  </si>
  <si>
    <t xml:space="preserve">Unspecified fine-tuning of Llama-2 and Phi-2 (method not reported)</t>
  </si>
  <si>
    <t xml:space="preserve">fine_tuning = other → specification required; only R1 filled (D144)</t>
  </si>
  <si>
    <t xml:space="preserve">D147</t>
  </si>
  <si>
    <t xml:space="preserve">Only R1: code-execution | Only R2: enterprise-system</t>
  </si>
  <si>
    <t xml:space="preserve">solver; database-SQL; code-execution</t>
  </si>
  <si>
    <t xml:space="preserve">solver; database-SQL; enterprise-system</t>
  </si>
  <si>
    <t xml:space="preserve">Solver: what-if questions are translated into modifications of mathematical programs that are run by the supply chain optimization tool (Section 4; Section 6, Example 2, fulfillment optimization). Database-SQL: questions are translated into 'data science queries which are in turn fed into the company's data repository (e.g., a SQL database)' (Section 3). Code-execution: the LLM 'outputs application code, which may invoke a supply chain tool ... and/or utilize the application's data repository', and this code is executed (Figure 1). RAG is mentioned only in Section 8 as an alternative option, not as part of the method.</t>
  </si>
  <si>
    <t xml:space="preserve">Section 3: 'fed into the company's data repository (e.g., a SQL database)'. Section 4: 'fed to the supply chain tool to produce a modified plan' (optimization solver). Section 7: 'direct interaction with the company's historical data (Excel and Word documents, PDF files, or ERP and CRM technologies)'.</t>
  </si>
  <si>
    <t xml:space="preserve">solver; database-SQL; code-execution; enterprise-system</t>
  </si>
  <si>
    <t xml:space="preserve">see both reasonings</t>
  </si>
  <si>
    <t xml:space="preserve">vocabulary term is enterprise-system (R2 value) → proposed: solver; database-SQL; code-execution; enterprise-system</t>
  </si>
  <si>
    <t xml:space="preserve">D148</t>
  </si>
  <si>
    <t xml:space="preserve">Only R1: high | Only R2: medium</t>
  </si>
  <si>
    <t xml:space="preserve">high</t>
  </si>
  <si>
    <t xml:space="preserve">Section 4 states that the optimization tasks are written as mathematical programs and that what-if questions add constraints. Section 6, Example 2, specifies the components: decision variables (supplier, dock date, deployment location), an objective (minimize shipping and delay costs) and constraints, solved by 'sophisticated optimization solvers'. The full formulation is not given in this chapter; it is referenced to [2]. Some uncertainty ('?') about the exact program type remains.</t>
  </si>
  <si>
    <t xml:space="preserve">The paper does not present a new mathematical formulation (variables, objective, constraints) for a specific problem. Instead, it describes a framework where the LLM generates 'small changes' (constraints) to existing mathematical programs (Section 4). The underlying optimization problems are formal (MILP/LP likely, given the context of supply chain planning and 'optimization solvers'), but the paper itself treats them as black-box tools or existing artifacts. The LLM's role is to interface with these formal models. Since the method relies on existing formal optimization models but does not define them itself, and the interaction is via code generation for these models, 'medium' is appropriate as it involves explicit optimization models (the tools) but the paper's contribution is the interface/orchestration rather than the formulation itself. However, looking at the definition: 'medium: Explicit objective and constraints, solved by approximate search or scoring'. This doesn't fit perfectly. 'high: Explicit mathematical program... solved exactly'. The tools solve exactly. The paper *uses* high-level formalization. But the *method* (the LLM system) doesn't formulate it. Let's re-read the schema: 'Formalization level of the optimization the proposed method itself performs'. The proposed method *invokes* optimization. It doesn't *perform* the mathematical derivation. However, without the optimization, the method doesn't exist. The optimization is central. The tools are 'sophisticated optimization solvers'. The LLM generates 'mathematical code' (constraints). This implies the underlying problems are formal. I will select 'high' because the system relies on and manipulates explicit mathematical programs (constraints added to existing models), even if the LLM doesn't derive the full model from scratch in the paper's narrative. Wait, Section 5 mentions 'generate a mathematical model corresponding to the user description' as a future/advanced direction, but currently it's 'small change to the original mathematical model'. The original models are formal. The LLM generates code for them. This is closer to 'high' in terms of the substrate being formal. Let's look at 'low': 'Objective/criteria named informally; no formal model'. This is definitely not low. It's either high or medium. Given the tools are 'optimization solvers' and the LLM generates 'mathematical code' (constraints), the substrate is formal. I will go with 'high' because the optimization problems being solved are explicitly mathematical programs (MILP/LP implied by 'optimization solvers' and 'mathematical programs' in Sec 4).</t>
  </si>
  <si>
    <t xml:space="preserve">D149</t>
  </si>
  <si>
    <t xml:space="preserve">Only R1: formulator</t>
  </si>
  <si>
    <t xml:space="preserve">result-interpreter; formulator; solver-orchestrator</t>
  </si>
  <si>
    <t xml:space="preserve">solver-orchestrator; result-interpreter</t>
  </si>
  <si>
    <t xml:space="preserve">Section 4 / Figure 1:
- **formulator:** the LLM translates the user's what-if question into application code that modifies the optimization model (e.g., adds constraints).
- **solver-orchestrator:** the generated code invokes the supply chain tool / optimization solver.
- **result-interpreter:** the solver output is passed back through the LLM (the interpreter) to produce a plain-language answer; what-if answering is OptiGuide-style.
Section 5 mentions full model generation only as a future direction, so it was not counted. Verification is discussed only as a challenge in Section 8.</t>
  </si>
  <si>
    <t xml:space="preserve">1. Solver-orchestrator: Section 4 describes the LLM translating human queries into 'mathematical code' (constraints) which is 'fed to the supply chain tool to produce a modified plan'. Figure 1 shows the LLM outputting 'Application Code' which 'may invoke a supply chain tool (e.g., optimization solver)'. This fits the definition of calling a solver as a tool. 2. Result-interpreter: Section 3 and 4 describe the LLM translating the numerical results from the data repository or optimization tool back into 'complete sentence form' or 'human language' for the planner. Section 6 Example 1 describes generating an email report explaining changes. This fits the definition of explaining solutions or answering what-if questions on them.</t>
  </si>
  <si>
    <t xml:space="preserve">D150</t>
  </si>
  <si>
    <t xml:space="preserve">Microsoft cloud hardware fulfillment plan (Section 6, Example 2). For each demand request, the decisions are:
- the hardware supplier used to fulfill the demand;
- the cluster dock date (deployment timeline);
- the deployment location in the datacenter (the row of tiles).
The objective is to minimize total cost, including shipping costs and delay costs relative to the ideal dock dates. The model is subject to many constraints: compatibility, capacity, inventory and operational throughput.
What-if questions are handled as small model changes, for example adding constraints that force a retailer to use a specific factory, shifting a dock date, or deactivating a warehouse. The modified model is re-solved and the result compared with the baseline plan.
Generic examples (Section 4) use a manufacturing supply chain with suppliers, factories and retailers.</t>
  </si>
  <si>
    <t xml:space="preserve">The paper describes a framework where LLMs interact with existing supply chain optimization tools. The underlying optimization problems involve supply chain planning, network design, procurement, and inventory optimization. Specifically, for Microsoft's cloud supply chain (Section 6), the optimization involves hardware deployment decisions: assigning and shipping servers from warehouses to data centers. The objective is to minimize total cost (shipping, depreciation, delay costs) subject to constraints (compatibility, capacity, inventory, operational throughputs, dock dates). The LLM generates code (constraints) to modify these existing mathematical programs for what-if analysis or updates the model parameters based on business changes.</t>
  </si>
  <si>
    <t xml:space="preserve">Microsoft cloud hardware fulfillment plan (Section 6, Example 2). For each demand request, the decisions are:- the hardware supplier used to fulfill the demand;- the cluster dock date (deployment timeline);- the deployment location in the datacenter (the row of tiles).The objective is to minimize total cost, including shipping costs and delay costs relative to the ideal dock dates. The model is subject to many constraints: compatibility, capacity, inventory and operational throughput.What-if questions are handled as small model changes, for example adding constraints that force a retailer to use a specific factory, shifting a dock date, or deactivating a warehouse. The modified model is re-solved and the result compared with the baseline plan.Generic examples (Section 4) use a manufacturing supply chain with suppliers, factories and retailers.</t>
  </si>
  <si>
    <t xml:space="preserve">formalization = high (= R1); R1 lists decision variables (D148)</t>
  </si>
  <si>
    <t xml:space="preserve">D151</t>
  </si>
  <si>
    <t xml:space="preserve">Author-built test question sets for each example (demand drift, fulfillment what-if, synthetic manufacturing scenario); size NR</t>
  </si>
  <si>
    <t xml:space="preserve">Sec. 6 states that a set of test questions was created for each example. No size or name is reported, and no public benchmark is used. A repository of question-code pairs used for in-context learning is mentioned in Sec. 4, with details deferred to reference [1].</t>
  </si>
  <si>
    <t xml:space="preserve">The paper mentions creating a 'set of test questions' and using 'synthetic examples' but does not name a specific public dataset or benchmark (e.g., no specific name like 'SC-Bench' or size like '1000 questions'). It refers to internal data repositories and specific business cases (Microsoft cloud, procurement contracts) but not a standardized external dataset.</t>
  </si>
  <si>
    <t xml:space="preserve">D152</t>
  </si>
  <si>
    <t xml:space="preserve">Only R1: 4 | Only R2: 3</t>
  </si>
  <si>
    <t xml:space="preserve">4</t>
  </si>
  <si>
    <t xml:space="preserve">3</t>
  </si>
  <si>
    <t xml:space="preserve">Quantitative values appear only in Sec. 6: about 90% accuracy, about 23% time saved, and qualitative-quantitative time reductions. The procurement savings in Sec. 7 ('millions of dollars') are vague and refer to third-party cases, so they are not included as a metric.</t>
  </si>
  <si>
    <t xml:space="preserve">Extracted quantitative values from Section 6. '90% accuracy' is explicitly stated. 'Minutes' vs 'week' is a time metric. '23%' is an efficiency metric. No other specific numeric metrics (like latency in ms or cost per query) are reported.</t>
  </si>
  <si>
    <t xml:space="preserve">D153</t>
  </si>
  <si>
    <r>
      <rPr>
        <b val="true"/>
        <sz val="10"/>
        <rFont val="Arial"/>
        <family val="0"/>
        <charset val="1"/>
      </rPr>
      <t xml:space="preserve">evaluation_and_outcomes.efficiency_metrics_reported
</t>
    </r>
    <r>
      <rPr>
        <i val="true"/>
        <sz val="8"/>
        <color rgb="FF595959"/>
        <rFont val="Arial"/>
        <family val="0"/>
        <charset val="1"/>
      </rPr>
      <t xml:space="preserve">
Type: bool
True if cost, latency/run time, or token usage of the LLM system is reported.</t>
    </r>
  </si>
  <si>
    <t xml:space="preserve">No repeated runs are reported, and no LLM judging is described. Efficiency: the paper reports user-facing response time reductions (days to minutes) and time saved (about 23%). These count as latency- or time-related outcomes, though LLM cost and token usage are not quantified; this is borderline but marked true. No statistical tests are reported.</t>
  </si>
  <si>
    <t xml:space="preserve">No information is provided on the number of repeated runs per test item. The evaluation appears to be based on accuracy of answers and user feedback/time savings, not on LLM-as-judge scoring. No cost, latency, or token usage metrics are reported. No statistical significance tests or confidence intervals are mentioned.</t>
  </si>
  <si>
    <t xml:space="preserve">partially</t>
  </si>
  <si>
    <t xml:space="preserve">it has to be a ordinal scale (yes, partially, no)</t>
  </si>
  <si>
    <t xml:space="preserve">v0.10.0: ordinal (D153); only qualitative run-time statement (days → minutes); no cost/token figures</t>
  </si>
  <si>
    <t xml:space="preserve">D154</t>
  </si>
  <si>
    <t xml:space="preserve">LLM-based technology can currently model only simple supply chain structures and cannot reliably generate complete mathematical models for complex industrial environments; tools to validate LLM-generated models are lacking.; User questions may be ambiguous relative to the precise language of optimization, so users need training or the system must ask clarifying questions.; Verifying the correctness and solvability of LLM-generated code or formulations is difficult, and LLMs will occasionally produce wrong outputs that require error detection and recovery.; Decisions depend on clean, reliable data, and keeping proprietary data fully separate from the LLM may not always be possible; fine-tuning and RAG also involve cost trade-offs.; The deployment currently supports only the most common what-if questions, with gradual expansion planned.</t>
  </si>
  <si>
    <t xml:space="preserve">Users may need training to ask precise questions as human language can be ambiguous compared to optimization language.; Verifying the correctness of code or mathematical models generated by LLMs is challenging, especially for complex industrial environments.; Data availability and quality are critical; proprietary data separation from LLMs may not always be possible, and missing data can affect tool performance.</t>
  </si>
  <si>
    <t xml:space="preserve">Limitations are drawn from Sec. 5 (end-to-end modeling), Sec. 6 (gradual deployment covering only common questions), and Sec. 8 (challenges: learning to ask questions, verifying correctness, data availability, cost and performance trade-offs).</t>
  </si>
  <si>
    <t xml:space="preserve">Limitations are explicitly discussed in Section 8 (Discussion) under 'Learning to ask questions', 'Verifying correctness', and 'Data availability'.</t>
  </si>
  <si>
    <t xml:space="preserve">LLM-based technology can currently model only simple supply chain structures and cannot reliably generate complete mathematical models for complex industrial environments; tools to validate LLM-generated models are lacking.; User questions may be ambiguous relative to the precise language of optimization, so users need training or the system must ask clarifying questions.; Verifying the correctness and solvability of LLM-generated code or formulations is difficult, and LLMs will occasionally produce wrong outputs that require error detection and recovery.; Decisions depend on clean, reliable data, and keeping proprietary data fully separate from the LLM may not always be possible; fine-tuning and RAG also involve cost trade-offs.; The deployment currently supports only the most common what-if questions, with gradual expansion planned.; Users may need training to ask precise questions as human language can be ambiguous compared to optimization language.; Verifying the correctness of code or mathematical models generated by LLMs is challenging, especially for complex industrial environments.; Data availability and quality are critical; proprietary data separation from LLMs may not always be possible, and missing data can affect tool performance.</t>
  </si>
  <si>
    <t xml:space="preserve">D155</t>
  </si>
  <si>
    <t xml:space="preserve">Microsoft deployed a GPT-4-based system using in-context learning that translates planner questions into code run against optimization tools and data, then interprets the results in plain language. It supports two use cases: demand drift analysis (automated email reports with root causes) and what-if Q&amp;A on fulfillment plans. The system achieves about 90% accuracy and saves about 23% of fulfillment investigation time. Drift analysis dropped from about a week to minutes, and question response times dropped from days to minutes. Planners reported higher productivity. Anecdotal procurement cases (chemical contract templates, automotive OEM missed discounts) reportedly yielded time savings and millions of dollars in savings.</t>
  </si>
  <si>
    <t xml:space="preserve">The LLM-based technology significantly improved planner productivity, reducing time to decision from days/weeks to minutes/hours. It achieved ~90% accuracy in production (using GPT-4) and saved ~23% of fulfillment investigation time. It enabled planners to independently perform demand drift analysis and answer what-if questions without involving data scientists or engineers.</t>
  </si>
  <si>
    <t xml:space="preserve">D156</t>
  </si>
  <si>
    <t xml:space="preserve">what-if-interface</t>
  </si>
  <si>
    <t xml:space="preserve">approval-gate; what-if-interface</t>
  </si>
  <si>
    <t xml:space="preserve">The core deployed use case is human-initiated what-if exploration (Sec. 4; Sec. 6 Example 2). Planners ask questions such as "What is the cost increase if we dock a certain demand a week earlier?" and "How will cost change if we disactivate a certain warehouse for one week?" The LLM translates each question into a constraint change, and the optimization tool re-solves it. Review and adjustment of LLM-flagged errors in the drift email is a weaker additional human step. It is not framed as a mandatory gate, so it is not coded as approval-gate (?).</t>
  </si>
  <si>
    <t xml:space="preserve">Approval-gate is present because planners must review and adjust outputs (e.g., demand drift analysis, fulfillment plan confirmation). What-if-interface is present because the core functionality involves humans posing scenarios ('What would be the additional cost if...') to explore outcomes (Section 4).</t>
  </si>
  <si>
    <t xml:space="preserve">D157</t>
  </si>
  <si>
    <t xml:space="preserve">Planners pose natural-language what-if questions. The LLM converts each question into a small modification of the optimization model (e.g., an added constraint), the supply chain tool re-solves the model, and an interpreter returns a plain-language comparison with the existing plan. Planners also review potential errors flagged in the LLM-generated demand drift email and adjust them. They can ask the system to re-run planning after LLM-generated alarms, such as an increased supplier lead time.</t>
  </si>
  <si>
    <t xml:space="preserve">The system operates as an assistant. For data insights, it generates reports that humans review for errors. For what-if questions, humans initiate the query, the LLM translates it to code, the solver runs, and the human interprets the result. For interactive planning, humans can trigger re-planning based on new information or LLM alerts, and they validate the final plan before execution.</t>
  </si>
  <si>
    <t xml:space="preserve">description follows consensus hitl_type (= R1, no approval-gate) (D156)</t>
  </si>
  <si>
    <t xml:space="preserve">D158</t>
  </si>
  <si>
    <t xml:space="preserve">Only R2: code-template</t>
  </si>
  <si>
    <t xml:space="preserve">mathematical-model; relational-database</t>
  </si>
  <si>
    <t xml:space="preserve">mathematical-model; relational-database; code-template</t>
  </si>
  <si>
    <t xml:space="preserve">Mathematical-model: optimization programs "transfer the structure of the supply chain and all the business requirements into a mathematical model" (Sec. 4). The Microsoft fulfillment optimization covers supplier, dock-date and placement decisions (Sec. 6). Relational-database: a SQL data repository holds supply chain data and plans (Sec. 3).</t>
  </si>
  <si>
    <t xml:space="preserve">Mathematical-model: Section 4 states 'supply chain planning tools use mathematical models, typically optimization methods... written in the form of mathematical programs'. Relational-database: Section 3 mentions 'fed into the company's data repository (e.g., a SQL database)'. Code-template: Section 4 mentions generating a 'large repository of questions and code answers' used as examples, which acts as a template for the LLM to generate new code.</t>
  </si>
  <si>
    <t xml:space="preserve">D159</t>
  </si>
  <si>
    <t xml:space="preserve">Text differs (similarity 14%)</t>
  </si>
  <si>
    <t xml:space="preserve">The supply chain planning tools use mathematical optimization models (e.g., the Azure hardware fulfillment optimizer, which minimizes shipping and delay costs under capacity and compatibility constraints). The LLM generates code that applies small changes to these models, such as adding constraints, for what-if analysis. Data and plans are stored in a SQL-type repository that the LLM queries through generated code.</t>
  </si>
  <si>
    <t xml:space="preserve">The domain knowledge is encoded in optimization models (mathematical programs) that define supply chain constraints and objectives. Operational data is stored in relational databases (SQL). The LLM interacts with these via generated code (SQL queries or modifications to optimization constraints) guided by a repository of question-code pairs.</t>
  </si>
  <si>
    <t xml:space="preserve">description follows consensus type (= R1) (D158)</t>
  </si>
  <si>
    <t xml:space="preserve">D160</t>
  </si>
  <si>
    <t xml:space="preserve">Only R2: domain-specific-metric</t>
  </si>
  <si>
    <t xml:space="preserve">custom-test-set</t>
  </si>
  <si>
    <t xml:space="preserve">The test questions were created by the team for each example scenario (Sec. 6), and the metric is generic accuracy (~90%). The reported 23% saving in fulfillment investigation time is an impact estimate, not part of the stated protocol, so domain-specific-metric is not coded.</t>
  </si>
  <si>
    <t xml:space="preserve">Custom-test-set: The authors created 'a set of test questions for each example' including 'challenging' ones with 'incorrect grammar'. Domain-specific-metric: The primary metric reported is 'accuracy' (90%), which in this context refers to the correctness of the LLM's translation of natural language to code/queries and the subsequent correct execution/answer, a domain-specific performance measure for this task.</t>
  </si>
  <si>
    <t xml:space="preserve">D161</t>
  </si>
  <si>
    <t xml:space="preserve">For each scenario (demand drift, fulfillment Q&amp;A, and a synthetic manufacturing scenario with raw-material suppliers, factories and retailers), the team built test question sets that include challenging items such as incorrect grammar or atypical questions. They compared in-context learning with GPT-4 against fine-tuned smaller models (Llama-2, Phi-2). The deployed GPT-4 system reaches around 90% accuracy, and deployment is gradual with monitoring of accuracy and user interactions.</t>
  </si>
  <si>
    <t xml:space="preserve">The evaluation involves creating custom test questions for specific scenarios (demand drift, fulfillment, manufacturing). These questions include edge cases like grammatical errors. The system's output is evaluated for accuracy (reported as ~90% for GPT-4). The process involves comparing the LLM-generated code/answers against expected results or verifying the execution of the generated code against the optimization tools.</t>
  </si>
  <si>
    <t xml:space="preserve">description follows consensus type (= R1) (D160)</t>
  </si>
  <si>
    <t xml:space="preserve">D162</t>
  </si>
  <si>
    <t xml:space="preserve">Only R1: No | Only R2: Partially</t>
  </si>
  <si>
    <t xml:space="preserve">No</t>
  </si>
  <si>
    <t xml:space="preserve">The paper gives a general LLM overview and lists some industry applications (procurement, revenue management in Section 1). It cites only the authors' own works [1]-[4] and [5] for SLMs. There is no explicit comparison against existing academic or commercial solutions for LLM-optimization integration.</t>
  </si>
  <si>
    <t xml:space="preserve">The paper positions LLMs as a disruptive technology that democratizes supply chain tools compared to traditional manual/IT-dependent processes (Abstract, Section 1). It mentions other LLM applications in procurement and revenue management (Section 1). However, it does not explicitly compare its specific framework against other LLM-based supply chain frameworks or academic baselines. It differentiates itself by focusing on the integration with optimization solvers rather than replacing them, but lacks a direct comparison table or detailed differentiation from similar recent works.</t>
  </si>
  <si>
    <t xml:space="preserve">D163</t>
  </si>
  <si>
    <t xml:space="preserve">Only R1: none | Only R2: partial</t>
  </si>
  <si>
    <t xml:space="preserve">Models are named only generically as 'GPT-4', 'Llama-2' and 'Phi-2' (Section 6, Evaluation and Deployment), with no snapshot or size given. No prompts are shown; only the in-context learning approach of appending question-code pairs is described, with details deferred to [1]. No temperature or other decoding settings are given. No code or data links are provided, and the deployment data is proprietary to Microsoft. No query dates are reported.</t>
  </si>
  <si>
    <t xml:space="preserve">Model Version: The paper mentions 'GPT-4', 'Llama-2', and 'Phi-2' but does not provide specific snapshot dates or version numbers (e.g., gpt-4-0613). Prompts: The paper describes the *type* of prompts (in-context learning with examples, translating to mathematical code) and gives examples of user questions, but does not provide the full prompt templates or system prompts verbatim. Decoding Params: No temperature, top-p, or max tokens are mentioned. Code: No public repository link is provided. Data: The test questions and evaluation data are not made publicly available. Run Date: No specific date or period for the model queries is reported.</t>
  </si>
  <si>
    <t xml:space="preserve">see reasoning r2 </t>
  </si>
  <si>
    <t xml:space="preserve">Reasoning field</t>
  </si>
  <si>
    <t xml:space="preserve">Linked value field(s)</t>
  </si>
  <si>
    <t xml:space="preserve">Value also disputed?</t>
  </si>
  <si>
    <t xml:space="preserve">study_characterization.research_type_rationale</t>
  </si>
  <si>
    <t xml:space="preserve">research_type</t>
  </si>
  <si>
    <t xml:space="preserve">Yes – see Comparison</t>
  </si>
  <si>
    <t xml:space="preserve">study_characterization.validation_status_rationale</t>
  </si>
  <si>
    <t xml:space="preserve">validation_status</t>
  </si>
  <si>
    <t xml:space="preserve">A working Python/SimPy implementation, released on GitHub, was evaluated under a defined protocol with defined metrics (Sec. 4.4, Sec. 5.3.4, Sec. 5.4.4, Sec. 5.5, Sec. 5.6). The protocol covered 10 runs for Case A and 11 runs for Case B, measuring code correctness, error types, CPD flagging, adaptation success and evaluation accuracy (Tables 5 and 7, Fig. 18). Input-output validation compared TH, WIP and SEC against FACTS Analyzer models using means, 95% confidence intervals and a 5%-10% acceptance threshold, following Sargent. Anchor: "21 experimental runs on two industrial case studies from a Swedish automotive manufacturer" (Abstract).</t>
  </si>
  <si>
    <t xml:space="preserve">The system is fully implemented (Python scripts, LLM API calls, blueprint model) and validated through a defined protocol. The authors conducted 21 experimental runs across two case studies, measured specific KPIs (TH, WIP, SEC), and performed input-output validation by comparing results against a commercial simulation tool (FACTS Analyzer) within acceptable thresholds (5-10%). This meets the criteria for 'implemented-validated': 'Working system + evaluation under a defined protocol with defined metrics'. See Section 4.4 (Workflow validation) and Section 5.6 (Validating the workflow with simulation software).</t>
  </si>
  <si>
    <t xml:space="preserve">study_characterization.industry_sector_reasoning</t>
  </si>
  <si>
    <t xml:space="preserve">industry_sector</t>
  </si>
  <si>
    <t xml:space="preserve">study_characterization.case_study_domain_reasoning</t>
  </si>
  <si>
    <t xml:space="preserve">case_study_domain</t>
  </si>
  <si>
    <t xml:space="preserve">study_characterization.stated_research_questions_reasoning</t>
  </si>
  <si>
    <t xml:space="preserve">stated_research_questions</t>
  </si>
  <si>
    <t xml:space="preserve">Text differs (similarity 45%)</t>
  </si>
  <si>
    <t xml:space="preserve">Both research questions are stated verbatim in Sec. 1 (Introduction).</t>
  </si>
  <si>
    <t xml:space="preserve">The research questions are explicitly listed in Section 1 (Introduction) under the paragraph starting with 'To achieve this, the paper addresses two research questions (RQs):'.</t>
  </si>
  <si>
    <t xml:space="preserve">strategic_planning_scope.subdomain_mapping_rationale</t>
  </si>
  <si>
    <t xml:space="preserve">subdomain</t>
  </si>
  <si>
    <t xml:space="preserve">The paper uses LLMs to generate, adapt and evaluate DES models of existing production lines: an automated machining line (Case A) and an automated assembly line (Case B) at a Swedish automotive manufacturer. The goal is capacity and energy-efficiency improvement of the lines (Sec. 1, 4, 5). Per Appendix A, simulation-based line and capacity planning within one site maps to factory-planning. This is a boundary case: it is a brownfield improvement of existing lines, and many adaptations are parametric (availability, MTTR, cycle time), which leans tactical or operational. Structural adaptations, however, also touch line configuration, such as adding a third parallel press or changing buffer capacities (Sec. 4.3.3, 5.4.3). No network, site or technology-selection scope.</t>
  </si>
  <si>
    <t xml:space="preserve">The paper focuses on the internal configuration and optimization of production lines (machining and assembly) within a single manufacturing site (Scania CV AB). It addresses capacity, energy efficiency, and inventory (WIP) for existing production lines. This aligns with 'factory-planning' as it deals with the internal logic, parameters, and structural variants of production systems rather than multi-site network design or site selection. The scope is limited to the internal configuration of the factory lines.</t>
  </si>
  <si>
    <t xml:space="preserve">strategic_planning_scope.planning_task_type_reasoning</t>
  </si>
  <si>
    <t xml:space="preserve">planning_task_type</t>
  </si>
  <si>
    <t xml:space="preserve">The core task is automated DES model generation, adaptation and evaluation (title; Sec. 4.3). Capacity-dimensioning is included because the bottleneck-agent and adaptor-agent propose and implement changes to buffer capacities and add a third parallel press. This is evaluated on throughput, WIP and SEC (Sec. 5.3.3, 5.4.3, Fig. 14). Material-flow-design was considered but not selected: part-flow logic is extracted, not designed. That choice is uncertain (?).</t>
  </si>
  <si>
    <t xml:space="preserve">The primary task is 'simulation-modeling' as the core contribution is an LLM-driven framework for generating, adapting, and evaluating Discrete-Event Simulation (DES) models (Abstract, Section 1). The application of this modeling is for 'capacity-dimensioning' and analysis, specifically assessing throughput, bottlenecks, and energy efficiency to support decision-making on process improvements and resource allocation (Section 1, Section 4.2). It does not involve layout planning or network configuration.</t>
  </si>
  <si>
    <t xml:space="preserve">strategic_planning_scope.scp_process_reasoning</t>
  </si>
  <si>
    <t xml:space="preserve">scp_process</t>
  </si>
  <si>
    <t xml:space="preserve">All decisions concern production lines: machines, buffers, throughput and energy per part (Sec. 4.2, 5). No procurement, distribution or sales aspects are addressed.</t>
  </si>
  <si>
    <t xml:space="preserve">The study explicitly deals with manufacturing production lines, machine performance, part flow, and production schedules. It does not address procurement, distribution, or sales processes. Section 1 states: 'manufacturing engineering has adapted and developed tools to design and manage production systems'.</t>
  </si>
  <si>
    <t xml:space="preserve">strategic_planning_scope.vdi5200_phase_reasoning</t>
  </si>
  <si>
    <t xml:space="preserve">vdi5200_phase</t>
  </si>
  <si>
    <t xml:space="preserve">strategic_planning_scope.time_horizon_explicitly_stated_reasoning</t>
  </si>
  <si>
    <t xml:space="preserve">time_horizon_explicitly_stated</t>
  </si>
  <si>
    <t xml:space="preserve">Text differs (similarity 17%)</t>
  </si>
  <si>
    <t xml:space="preserve">Only simulation horizons are stated: 30 days for Case A and 7 days for Case B, each with a 1-day warm-up (Sec. 4.3.2, Fig. 5, Fig. 11). These are model run lengths, not planning horizons. No planning horizon is given.</t>
  </si>
  <si>
    <t xml:space="preserve">The paper discusses simulation horizons (e.g., 30 days, 7 days) for the DES models to reach steady state, but does not state a strategic planning time horizon (e.g., '5-year plan'). The focus is on operational/short-term performance analysis and immediate process improvements, not long-term strategic horizons.</t>
  </si>
  <si>
    <t xml:space="preserve">strategic_planning_scope.planning_horizon_rationale</t>
  </si>
  <si>
    <t xml:space="preserve">planning_horizon_tiers</t>
  </si>
  <si>
    <t xml:space="preserve">strategic_planning_scope.authors_claimed_tier_reasoning</t>
  </si>
  <si>
    <t xml:space="preserve">authors_claimed_tier</t>
  </si>
  <si>
    <t xml:space="preserve">strategic_planning_scope.system_configuring_decision_reasoning</t>
  </si>
  <si>
    <t xml:space="preserve">system_configuring_decision</t>
  </si>
  <si>
    <t xml:space="preserve">The supported decisions include adding equipment and setting capacities. Sec. 5.4.3 / Fig. 14: 'Add a third parallel press with its own pre-buffer instance'. Fig. 7: 'Increase the capacity of buffer1, buffer2, and buffer3 to 10.' Sec. 4.3.3 mentions 'structural adaptations (e.g., adding or removing operations)'. These determine what exists in the line. Many other suggestions are purely parametric.</t>
  </si>
  <si>
    <t xml:space="preserve">The method supports decisions that change the system configuration, such as 'adding or removing operations' (Section 4.3.3) and 'adding a third parallel press' (Section 5.4.3). These are decisions about what exists in the system (structural changes), not just how it is operated. Section 4.3.3 explicitly lists 'structural adaptations (e.g., adding or removing operations)' as a complexity level handled by the workflow.</t>
  </si>
  <si>
    <t xml:space="preserve">strategic_planning_scope.system_configuring_decision_stated_reasoning</t>
  </si>
  <si>
    <t xml:space="preserve">system_configuring_decision_stated</t>
  </si>
  <si>
    <t xml:space="preserve">strategic_planning_scope.theoretical_framework_cited_reasoning</t>
  </si>
  <si>
    <t xml:space="preserve">theoretical_framework_cited</t>
  </si>
  <si>
    <t xml:space="preserve">The workflow follows the simulation-based production development steps from Schmitt et al. [3]: case definition, current state, future state, decision support (Sec. 2.2, Fig. 1). Sargent's V&amp;V principles are used for validation. Both are general simulation methodology rather than planning-domain frameworks. VDI 5200, the SC Planning Matrix and similar frameworks are not cited.</t>
  </si>
  <si>
    <t xml:space="preserve">The paper cites general simulation principles (Sargent [46]) and Gen-AI concepts, but does not use a specific strategic planning framework like VDI 5200, SC-Planning-Matrix, or Lanza et al. to structure its planning scope. It relies on standard DES methodology and LLM workflow techniques.</t>
  </si>
  <si>
    <t xml:space="preserve">strategic_planning_scope.theoretical_framework_rationale</t>
  </si>
  <si>
    <t xml:space="preserve">Text differs (similarity 11%)</t>
  </si>
  <si>
    <t xml:space="preserve">The paper structures its scope via a generic simulation study procedure and LLM workflow techniques, not via a factory or supply-chain planning reference model.</t>
  </si>
  <si>
    <t xml:space="preserve">The paper focuses on the technical implementation of an LLM-driven simulation workflow. It references standard simulation validation guidelines (Sargent) and Gen-AI literature, but does not adopt a specific strategic planning theoretical framework to define its scope or decision-making structure.</t>
  </si>
  <si>
    <t xml:space="preserve">llm_intervention.models_rationale</t>
  </si>
  <si>
    <t xml:space="preserve">models</t>
  </si>
  <si>
    <t xml:space="preserve">Section 4.1.1 states that the LLMs used were instances of OpenAI's GPT-4o, GPT-5-mini and GPT-5.1, and the API calls in Appendix B show 'gpt-5.1' and 'gpt-5-mini'. Table 2 also lists GPT-5, o3 and GPT-4.1, but only as reference points for quality and cost; they were not deployed. GPT-3 Codex appears only in related work (Jackson et al.). Claude and Gemini are mentioned only as background or as possible alternative providers.</t>
  </si>
  <si>
    <t xml:space="preserve">Section 4.1.1 explicitly states: 'The LLMs chosen for this work were instances of OpenAI's models GPT-4o, GPT-5-mini, and GPT-5.1'. Table 2 lists these models along with their benchmark performance and costs. The paper notes that GPT-5.1 was used for complex tasks (builder/inspector), GPT-5-mini for simpler tasks (adaptor/visualizer/evaluator), and GPT-4o for structured output (bottleneck-agent). Other models like o3 and GPT-4.1 are listed in Table 2 for reference but not used in the method.</t>
  </si>
  <si>
    <t xml:space="preserve">llm_intervention.model_family_reasoning</t>
  </si>
  <si>
    <t xml:space="preserve">model_family</t>
  </si>
  <si>
    <t xml:space="preserve">Text differs (similarity 48%)</t>
  </si>
  <si>
    <t xml:space="preserve">All deployed models are OpenAI GPT models (Section 4.1.1).</t>
  </si>
  <si>
    <t xml:space="preserve">All models used (GPT-5.1, GPT-5-mini, GPT-4o) belong to OpenAI's GPT family, as stated in Section 4.1.1 and Table 2.</t>
  </si>
  <si>
    <t xml:space="preserve">llm_intervention.open_weight_rationale</t>
  </si>
  <si>
    <t xml:space="preserve">open_weight</t>
  </si>
  <si>
    <t xml:space="preserve">Text differs (similarity 20%)</t>
  </si>
  <si>
    <t xml:space="preserve">GPT-5.1, GPT-5-mini and GPT-4o are proprietary OpenAI models (Section 4.1.1).</t>
  </si>
  <si>
    <t xml:space="preserve">The models used are OpenAI's proprietary models (GPT-5.1, GPT-5-mini, GPT-4o), which are not open-weight. Section 4.1.1 mentions they were accessed via the case company's enterprise access to OpenAI's APIs.</t>
  </si>
  <si>
    <t xml:space="preserve">llm_intervention.deployment_reasoning</t>
  </si>
  <si>
    <t xml:space="preserve">deployment</t>
  </si>
  <si>
    <t xml:space="preserve">The models were accessed through OpenAI's API via the case company's enterprise access (Section 4.1.1). The code calls client.chat.completions.create (Appendix B). API costs and default API parameters are reported (Table 2, Fig. 2 caption).</t>
  </si>
  <si>
    <t xml:space="preserve">Section 4.1.1 states: 'OpenAI, for example, built its models into the chat-bot ChatGPT... Lately, AI companies such as OpenAI directly offer application programming interfaces (APIs), to implement its models into company-code workflows.' The paper also mentions 'API calls' in Section 5.2 and Table 5/7 ('requiring eight API requests'). This indicates the models are accessed via API rather than running locally.</t>
  </si>
  <si>
    <t xml:space="preserve">llm_intervention.modality_reasoning</t>
  </si>
  <si>
    <t xml:space="preserve">modality</t>
  </si>
  <si>
    <t xml:space="preserve">The prompts consist of text, Python code, markdown tables of station parameters and CPD text (Appendix B, Fig. 3). No image inputs are given to the LLMs.</t>
  </si>
  <si>
    <t xml:space="preserve">The inputs to the LLMs are described as text: 'natural-language instructions', 'blueprint model' (Python code as text), 'structured set of parameters', 'event logs' (processed into text/tables), and 'JSON instructions'. The outputs are also text (Python code, JSON, textual summaries). No images or other modalities are used as input to the LLMs in the described method.</t>
  </si>
  <si>
    <t xml:space="preserve">llm_intervention.fine_tuning_reasoning</t>
  </si>
  <si>
    <t xml:space="preserve">fine_tuning</t>
  </si>
  <si>
    <t xml:space="preserve">No fine-tuning was performed. Fine-tuned models are mentioned only as future work for C++/XML generation (Section 6.4).</t>
  </si>
  <si>
    <t xml:space="preserve">The paper does not mention any fine-tuning of the LLMs. It relies on prompt engineering, zero/one-shot implementations, and evaluator-optimizer loops. Section 4.1.2 describes 'prompt engineering', 'zero-, one-, and few-shot implementations', and 'evaluator-optimizer workflows' as the techniques used. No weight updates or fine-tuning procedures are described.</t>
  </si>
  <si>
    <t xml:space="preserve">llm_intervention.prompting_techniques_reasoning</t>
  </si>
  <si>
    <t xml:space="preserve">prompting_techniques</t>
  </si>
  <si>
    <t xml:space="preserve">Section 4.1.2 describes the techniques explicitly:
- The builder-agent is a one-shot implementation, with the blueprint model as a single example. This is coded as few-shot (in-context example).
- The adaptor-agent operates zero-shot.
- GPT-4o's structured output is used to generate JSON instructions for the bottleneck-agent.
Iterative prompt engineering and refinement was also applied, including output instructions with a worked example (Table 10).</t>
  </si>
  <si>
    <t xml:space="preserve">Section 4.1.2 explicitly mentions 'zero-, one-, and few-shot implementations'. It states the builder-agent uses a 'one-shot implementation' (blueprint model as a single example), while the adaptor-agent operates in a 'zero-shot manner'. Section 4.1.1 mentions GPT-4o was chosen for 'generating JavaScript Object Notation (JSON) instructions', which implies structured output. Table 2 also lists 'Structured output' as a feature of GPT-4o. Prompt engineering is also mentioned as a technique.</t>
  </si>
  <si>
    <t xml:space="preserve">llm_intervention.agentic_architecture_reasoning</t>
  </si>
  <si>
    <t xml:space="preserve">agentic_architecture</t>
  </si>
  <si>
    <t xml:space="preserve">The authors explicitly build a 'workflow' in Anthropic's sense: predefined code paths with individual LLM calls. They state that 'with agents we do not refer to a fully autonomous system but instead refer to individual LLM calls integrated into the workflow' (Section 2.1). The specialised roles (builder, inspector, visualizer, bottleneck, CPD, adaptor, evaluator) follow a fixed developer-defined sequence, with 6+N API calls (Section 5.2, Fig. 4).</t>
  </si>
  <si>
    <t xml:space="preserve">The system is described as a 'workflow' with 'predefined code paths' (Section 2.1, citing Anthropic's definition). The LLMs are integrated into a fixed sequence of steps: input data analysis -&gt; model generation -&gt; model adaptation -&gt; model evaluation. Each step uses specific LLM roles (builder, inspector, etc.) in a deterministic order defined by the developer. This fits the 'pipeline' definition: 'Fixed, developer-defined sequence of several specialised LLM roles'. The authors explicitly distinguish this from 'agents' (autonomous decision-making) and state they focus on 'building an effective LLM-driven workflow within a rather narrow code path' (Section 2.1).</t>
  </si>
  <si>
    <t xml:space="preserve">llm_intervention.workflow_patterns_reasoning</t>
  </si>
  <si>
    <t xml:space="preserve">workflow_patterns</t>
  </si>
  <si>
    <t xml:space="preserve">Prompt-chaining: there is a fixed sequence in which builder output feeds the inspector and visualizer, the bottleneck-agent's suggestions feed the CPD-agent and adaptor-agent, and the adapted models' results feed the evaluator. Evaluator-optimizer: Section 4.1.2 states 'one LLM call generates and another inspects and, if necessary, repairs the code' (inspector-agent). It is unclear whether this is iterated as a loop. Parallelization is not coded: N adaptor instances each implement one suggestion separately and the evaluator compares them, but parallel execution is not stated. Orchestrator-workers configurations are mentioned as already implemented but were not evaluated (Section 6.4), so they are not coded.</t>
  </si>
  <si>
    <t xml:space="preserve">The workflow involves a fixed sequence of LLM calls where each step processes the output of the previous one (e.g., builder generates code, inspector checks it, adaptor modifies it), which is 'prompt-chaining'. Additionally, the 'evaluator-optimizer' pattern is explicitly used: 'The evaluator-optimizer technique is used where one LLM call generates and another inspects and, if necessary, repairs the code' (Section 4.1.2). This is seen in the builder/inspector and adaptor/inspector pairs.</t>
  </si>
  <si>
    <t xml:space="preserve">llm_intervention.agent_capabilities_reasoning</t>
  </si>
  <si>
    <t xml:space="preserve">agent_memory; planning_reflection; tool_use</t>
  </si>
  <si>
    <t xml:space="preserve">Each agent is a single stateless chat-completion call with all context included in the prompt (Appendix B). No conversation history or persistent memory is described. Code inspection is done by a separate inspector call rather than by self-reflection, and there is no explicit planning step. All code execution and tool calls (simulation runs, bottleneck analysis, plotting) are fixed by the developer in the Python workflow, not chosen by the LLMs.</t>
  </si>
  <si>
    <t xml:space="preserve">The system is a fixed pipeline, not an autonomous agent. There is no mention of memory beyond the current prompt/context window. The LLMs do not plan or reflect in an agentic sense; they follow predefined prompts. They do not decide to call tools at runtime; the workflow structure dictates which LLM is called and with what inputs. The 'agents' are just LLM calls in a fixed sequence.</t>
  </si>
  <si>
    <t xml:space="preserve">llm_intervention.integrations_reasoning</t>
  </si>
  <si>
    <t xml:space="preserve">integrations</t>
  </si>
  <si>
    <t xml:space="preserve">The LLM-generated Python code is a SimPy DES model that the workflow executes over several replications to obtain KPIs (Sections 4.3.2 and 4.3.4). This is coded as code-execution plus simulation-platform (SimPy). MES event logs and PM4Py process mining are used only in pre-LLM data preparation by static Python code (Section 4.3.1), so they are not coded as LLM integrations. FACTS Analyzer was used only for manual validation (Section 5.6).</t>
  </si>
  <si>
    <t xml:space="preserve">The LLMs generate Python code that is executed using SimPy (a simulation platform/library). Section 4.3.2 states: 'A builder-agent translates the input data to generate the current-state simulation model using SimPy, a Python-based DES library'. The code is then executed to get KPIs. This is 'code-execution' and 'simulation-platform' integration. The paper also mentions comparing results with FACTS Analyzer (a commercial simulation software), but the LLMs themselves generate code for SimPy. The MES is used for data collection, not as an integration for the LLM's decision-making process in the same way. The primary integration is with the simulation environment via code execution.</t>
  </si>
  <si>
    <t xml:space="preserve">or_substrate.optimization_tradition_present_reasoning</t>
  </si>
  <si>
    <t xml:space="preserve">optimization_tradition_present</t>
  </si>
  <si>
    <t xml:space="preserve">The method generates, adapts and evaluates SimPy discrete-event simulation models for what-if scenario exploration. There is no formal optimization problem and no solver call (Sec. 4.3). Utilization-based bottleneck analysis feeds a GPT-4o bottleneck-agent that proposes 3 (+1 human) improvement suggestions, by default three. Each suggestion is implemented once as an adapted model and simulated, and an evaluator-agent compares the KPIs (TH, WIP, SEC) and recommends trade-offs (Sec. 4.3.3–4.3.4, 5.3–5.4). This is a single-pass comparison of a few scenarios, not an iterative search over a decision space with a formal objective. Optimization is mentioned only in the background, where DES is said to support design of experiments and optimization [2,3]. It also appears as future work: 'Integrating design of experiments (DOE) or optimization modules could extend the workflow's ability to explore broader search spaces' (Sec. 6.4). Borderline: the LLM-proposes / simulation-evaluates loop loosely resembles simulation-based improvement. It is not framed or implemented as optimization, so it is coded false.</t>
  </si>
  <si>
    <t xml:space="preserve">The paper focuses on automating the generation, adaptation, and evaluation of Discrete-Event Simulation (DES) models using LLMs. While it mentions 'optimization' in the introduction as a general application of DES (ref [3]) and discusses 'optimization modules' as future work (Section 6.4), the proposed method itself does not formulate or solve an optimization problem (e.g., MILP, metaheuristic search). Instead, it uses a heuristic bottleneck analysis (utilization-based) to generate specific parameter changes (suggestions) which are then implemented and evaluated via simulation. The core contribution is the LLM-driven workflow for simulation modeling, not an optimization algorithm.</t>
  </si>
  <si>
    <t xml:space="preserve">or_substrate.formalization_level_reasoning</t>
  </si>
  <si>
    <t xml:space="preserve">formalization_level</t>
  </si>
  <si>
    <t xml:space="preserve">No optimization tradition is present in the proposed method. KPIs (TH, WIP, SEC) are compared informally by an LLM evaluator, and no objective function, decision variables or constraints are formalized. Critical process definitions are checked textually by the CPD-agent rather than serving as optimization constraints.</t>
  </si>
  <si>
    <t xml:space="preserve">Since no optimization problem is formally formulated or solved by the proposed method, the formalization level is 'none'. The method relies on simulation execution and LLM-based code generation/modification rather than mathematical optimization.</t>
  </si>
  <si>
    <t xml:space="preserve">or_substrate.optimization_paradigm_reasoning</t>
  </si>
  <si>
    <t xml:space="preserve">optimization_paradigm</t>
  </si>
  <si>
    <t xml:space="preserve">Empty because no optimization is performed by the method. Scenario evaluation via DES is what-if analysis, not simulation-optimization. DOE and optimization modules are explicitly left to future work (Sec. 6.4).</t>
  </si>
  <si>
    <t xml:space="preserve">No optimization paradigm is used by the method itself. The workflow uses simulation (SimPy) for evaluation and LLMs for code generation, but does not employ simulation-optimization loops, metaheuristics, or other OR paradigms as part of its core mechanism.</t>
  </si>
  <si>
    <t xml:space="preserve">or_substrate.llm_or_role_reasoning</t>
  </si>
  <si>
    <t xml:space="preserve">llm_or_role</t>
  </si>
  <si>
    <t xml:space="preserve">There is no optimizer in the method. The LLMs act as simulation model builder, inspector, visualizer, adaptor, bottleneck-suggestion generator, CPD constraint checker and result evaluator for DES models. None of these interacts with an optimization solver or formal optimization model (Sec. 4.1.1, 4.3, Fig. 4).</t>
  </si>
  <si>
    <t xml:space="preserve">The LLMs act as code generators and interpreters for simulation models, not as optimizers, formulators of mathematical programs, or solver orchestrators in the OR sense. They generate Python code for SimPy, adapt it based on instructions, and interpret simulation results. They do not interact with an OR solver or formulate an optimization model.</t>
  </si>
  <si>
    <t xml:space="preserve">or_substrate.solver_type_reasoning</t>
  </si>
  <si>
    <t xml:space="preserve">solver_type</t>
  </si>
  <si>
    <t xml:space="preserve">No optimization solver is reported. The tools used are SimPy (a DES library), PM4Py (process mining) and FACTS Analyzer (for validation simulation); none of these is an optimization solver (Sec. 4.3.1, 4.3.2, 4.4).</t>
  </si>
  <si>
    <t xml:space="preserve">No OR solver (e.g., Gurobi, CPLEX) is used. The simulation engine used is SimPy (a Python library), and validation is done against FACTS Analyzer (commercial simulation software), but these are simulation tools, not optimization solvers.</t>
  </si>
  <si>
    <t xml:space="preserve">evaluation_and_outcomes.study_design_reasoning</t>
  </si>
  <si>
    <t xml:space="preserve">study_design</t>
  </si>
  <si>
    <t xml:space="preserve">The workflow was applied to two distinct real-world production lines at a Swedish automotive manufacturer: Case A, an automated machining line with 4 serial operations, and Case B, an automated assembly line with 7 operations including parallel presses (Sec. 5, 5.3, 5.4). It was run 10 times on Case A and 11 times on Case B, for 21 runs in total. The runs check repeatability on the same cases; they do not form a controlled comparison of conditions, so this is not quasi-experimental. There was no participant user study and no operational deployment: implementing changes in production was out of scope (Fig. 1 caption).</t>
  </si>
  <si>
    <t xml:space="preserve">The paper explicitly states in the Abstract and Section 5 that the framework was validated using 'two industrial case studies from a Swedish automotive manufacturer' (Case A and Case B). Section 5.3 details Case A (automated machining line) and Section 5.4 details Case B (automated assembly line). This fits the definition of 'multi-case' (two or more distinct cases worked through).</t>
  </si>
  <si>
    <t xml:space="preserve">evaluation_and_outcomes.evaluation_paradigm_reasoning</t>
  </si>
  <si>
    <t xml:space="preserve">evaluation_paradigm</t>
  </si>
  <si>
    <t xml:space="preserve">evaluation_and_outcomes.dataset_or_benchmark_reasoning</t>
  </si>
  <si>
    <t xml:space="preserve">dataset_or_benchmark</t>
  </si>
  <si>
    <t xml:space="preserve">evaluation_and_outcomes.comparator_reasoning</t>
  </si>
  <si>
    <t xml:space="preserve">comparator</t>
  </si>
  <si>
    <t xml:space="preserve">Sec. 4.4 and 5.6: the LLM-generated SimPy models from the first experiment of each case were compared against equivalent models manually rebuilt in the commercial simulation software FACTS Analyzer, using TH, SEC and WIP deviations. This is coded as conventional-method (commercial software applied to the same cases). Uncertainty: the FACTS models serve mainly as a validation reference and could arguably be treated as ground truth rather than a comparator. They could also be read as a manual human baseline, but modeling time and effort were not compared. The authors state that comparison against manual modeling practices and ASMG approaches is future work (Sec. 6.4).</t>
  </si>
  <si>
    <t xml:space="preserve">Section 5.6 ('Validating the workflow with simulation software') states that the LLM-generated Python models were compared against 'equivalent models built in FACTS Analyzer simulation software'. FACTS Analyzer is a commercial, non-AI simulation tool, fitting the 'conventional-method' category. The comparison validates the accuracy of the LLM-generated models against a standard industry tool.</t>
  </si>
  <si>
    <t xml:space="preserve">evaluation_and_outcomes.reported_metrics_reasoning</t>
  </si>
  <si>
    <t xml:space="preserve">evaluation_and_outcomes.independent_evaluation_reasoning</t>
  </si>
  <si>
    <t xml:space="preserve">independent_evaluation</t>
  </si>
  <si>
    <t xml:space="preserve">The authors ran all experiments and the validation themselves. Validation also involved discussions with a simulation expert at the case company (Scania), which employs several of the authors (Sec. 4.4). No third-party or blind external evaluation was reported.</t>
  </si>
  <si>
    <t xml:space="preserve">The evaluation was conducted by the authors and their project partners (Scania CV AB and Uppsala University). Section 4.4 mentions 'frequent discussions with a simulation expert at the company' and 'human operator' checks, but these are internal stakeholders/partners, not independent third-party evaluators. There is no mention of external blind testing or independent academic replication for the evaluation results.</t>
  </si>
  <si>
    <t xml:space="preserve">evaluation_and_outcomes.sample_size_reasoning</t>
  </si>
  <si>
    <t xml:space="preserve">sample_size</t>
  </si>
  <si>
    <t xml:space="preserve">evaluation_and_outcomes.llm_evaluation_properties_reasoning</t>
  </si>
  <si>
    <t xml:space="preserve">repeated_runs; llm_as_judge; efficiency_metrics_reported; statistical_testing</t>
  </si>
  <si>
    <t xml:space="preserve">evaluation_and_outcomes.reported_limitations_reasoning</t>
  </si>
  <si>
    <t xml:space="preserve">reported_limitations</t>
  </si>
  <si>
    <t xml:space="preserve">gap_indicators.hitl_pattern_present_reasoning</t>
  </si>
  <si>
    <t xml:space="preserve">hitl_pattern_present</t>
  </si>
  <si>
    <t xml:space="preserve">Section 4.1.3 describes three human-in-the-loop checkpoints that act on intermediate and final LLM outputs. The paper states: "Mandatory inspection of the initial simulation model... repairs it if necessary"; "Optional improvement suggestion. The human operator can add a suggestion"; "Mandatory check of results. The human operator verifies the interpretations made by the agent." Manual corrections were actually performed in experiments (Tables 5 and 7).</t>
  </si>
  <si>
    <t xml:space="preserve">Section 4.1.3 explicitly describes a 'human-in-the-loop' mechanism. The text states: '1. Mandatory inspection of the initial simulation model... 2. Optional improvement suggestion... 3. Mandatory check of results.' This confirms humans act on intermediate outputs (model inspection, adding suggestions) and final outputs (checking results).</t>
  </si>
  <si>
    <t xml:space="preserve">gap_indicators.hitl_type_reasoning</t>
  </si>
  <si>
    <t xml:space="preserve">hitl_type</t>
  </si>
  <si>
    <t xml:space="preserve">approval-gate: the workflow prompts the operator to review and repair the generated model before execution, and the final results must be checked (Sec. 4.1.3; 4.3.2: "the user is prompted to manually review and adjust the model").
what-if-interface: the operator can add an extra improvement scenario via text, e.g. adding a third parallel press (Fig. 14: "Do you want to manually add one change to the model?").
human-override: the operator edits or repairs agent-generated models ("Manual correction" in Tables 5 and 7) and can evaluate or dismiss suggestions flagged by the CPD-agent (Sec. 4.3.3).</t>
  </si>
  <si>
    <t xml:space="preserve">1. 'approval-gate': Section 4.1.3 states 'Mandatory inspection of the initial simulation model... The human operator inspects if the initial model... is correct, and repairs it if necessary.' This is a workflow-initiated gate. 2. 'what-if-interface': Section 4.1.3 states 'Optional improvement suggestion. The human operator can add a suggestion... to enhance the exploration.' This is human-initiated scenario exploration. 3. 'human-override': Section 4.1.3 states the operator 'repairs it if necessary' and 'verifies the interpretations', allowing them to correct or veto LLM outputs.</t>
  </si>
  <si>
    <t xml:space="preserve">gap_indicators.domain_knowledge_formalization_present_reasoning</t>
  </si>
  <si>
    <t xml:space="preserve">domain_knowledge_formalization_present</t>
  </si>
  <si>
    <t xml:space="preserve">A predefined, generalized Python/SimPy blueprint model encodes production-system structure, including machine and buffer classes, merger/splitter logic, a failure distribution and KPI calculation. The builder-agent uses it as a one-shot template (Sec. 4.3.2, 5.1: "The blueprint model... provided the expected structure of a production model"). The generated SimPy simulation models are also executable mathematical/simulation models. The CPDs are text statements only, so they do not count as formalization.</t>
  </si>
  <si>
    <t xml:space="preserve">Section 4.3.2 and 5.1 describe a 'blueprint model' which is a 'predefined, generalized blueprint template' used to guide the LLM. Section 5.1 states: 'The blueprint model... provided the expected structure of a production model and thus supported a one-shot adaptation'. This is an explicit, reusable, machine-readable structure (code template) encoding domain logic (SimPy classes, buffer/machine definitions).</t>
  </si>
  <si>
    <t xml:space="preserve">gap_indicators.domain_knowledge_type_reasoning</t>
  </si>
  <si>
    <t xml:space="preserve">domain_knowledge_type</t>
  </si>
  <si>
    <t xml:space="preserve">gap_indicators.evaluation_framework_used_reasoning</t>
  </si>
  <si>
    <t xml:space="preserve">evaluation_framework_used</t>
  </si>
  <si>
    <t xml:space="preserve">The paper defines a repeatable protocol: 21 experimental runs (10 on Case A, 11 on Case B). Each run is scored on code correctness, error type, KPIs, BT suggestions, CPD flagging, adaptation result and evaluation correctness (Tables 5 and 7, Fig. 18). Validation compares the first experiment of each case against manually built FACTS Analyzer models using TH, SEC and WIP, with 95% confidence intervals and a 5–10% acceptance threshold following Sargent (Sec. 4.4, 5.6).</t>
  </si>
  <si>
    <t xml:space="preserve">Section 4.4 'Workflow validation' and Section 5.6 'Validating the workflow with simulation software' describe a systematic evaluation. They compare LLM-generated models against 'equivalent models built in FACTS Analyzer simulation software' (expert ground truth) using specific KPIs (TH, SEC, WIP) and statistical methods (95% confidence intervals, acceptable accuracy ranges of 5-10%). This constitutes a repeatable protocol with defined metrics and ground truth.</t>
  </si>
  <si>
    <t xml:space="preserve">gap_indicators.evaluation_framework_type_reasoning</t>
  </si>
  <si>
    <t xml:space="preserve">evaluation_framework_type</t>
  </si>
  <si>
    <t xml:space="preserve">gap_indicators.automation_stage_reasoning</t>
  </si>
  <si>
    <t xml:space="preserve">automation_stage</t>
  </si>
  <si>
    <t xml:space="preserve">information-analysis: LLMs generate the simulation model, the bottleneck-agent generates improvement alternatives, and the CPD-agent checks constraints (Sec. 4.3.2–4.3.3).
decision-selection: the evaluator-agent compares scenarios and recommends a preferred configuration (Fig. 10: "Version 2 delivers the best combined improvement... preferred choice").
action-implementation: the adaptor-agent implements the suggested changes in the simulation model code (Sec. 4.3.3). This implementation happens only in the model; implementing changes in real production is out of scope (Fig. 1).
Input data analysis is done with static Python code rather than LLMs, so information-acquisition is not counted as LLM-automated.</t>
  </si>
  <si>
    <t xml:space="preserve">1. 'information-analysis': The LLM analyzes input data (event logs, parameters) to generate the simulation model structure (Section 4.3.2). 2. 'decision-selection': The 'bottleneck-agent' identifies bottlenecks and proposes improvement suggestions, and the 'evaluator-agent' compares results and recommends the best configuration (Section 4.3.3, 4.3.4). 3. 'action-implementation': The 'adaptor-agent' implements the suggested changes into the code, and the 'builder-agent' generates the executable code (Section 4.3.2, 4.3.3). Note: 'information-acquisition' is largely done via static Python scripts (Section 4.3.1), not the LLM, so it is excluded.</t>
  </si>
  <si>
    <t xml:space="preserve">gap_indicators.decision_autonomy_reasoning</t>
  </si>
  <si>
    <t xml:space="preserve">decision_autonomy</t>
  </si>
  <si>
    <t xml:space="preserve">The evaluator-agent recommends a preferred adapted model together with trade-offs, and the human decision-maker verifies and decides (Sec. 4.3.4: "present human decision-makers with actionable recommendations... The decision-maker then verifies the results and evaluates these trade-offs"). Real production changes are outside the system's scope.</t>
  </si>
  <si>
    <t xml:space="preserve">The system generates options (improvement suggestions) and recommends the best one (evaluator-agent output: 'Version 2 delivers the best combined improvement... preferred choice'). However, the human operator must 'verify the results and evaluates these trade-offs' (Section 4.3.4) and 'Implement and evaluate changes in production' is outside the scope (Fig 1). The system does not autonomously implement the decision in the production system; it provides a recommendation for the human to decide on.</t>
  </si>
  <si>
    <t xml:space="preserve">quality_appraisal.q1_methodological_transparency_reasoning</t>
  </si>
  <si>
    <t xml:space="preserve">q1_methodological_transparency</t>
  </si>
  <si>
    <t xml:space="preserve">Sec. 4.1–4.3 describe the workflow stages, the agent roles and the model assignment per agent (GPT-5.1, GPT-5-mini, GPT-4o). The paper also names the techniques used: one-shot with a blueprint, zero-shot adaptation and evaluator-optimizer loops. Human-in-the-loop checkpoints and V&amp;V procedure (Sec. 4.4) are specified. Appendices A–D give blueprint and prompt excerpts. Sec. 4: 'The full implementation of the LLM-to-simulation pipeline, including blueprints, LLM calls, prompts, Python scripts, and input data for Case B is available at Github.'</t>
  </si>
  <si>
    <t xml:space="preserve">The paper provides a detailed description of the LLM-driven workflow, including specific agent roles (builder, inspector, adaptor, etc.), the specific LLM models used for each task (GPT-5.1, GPT-5-mini, GPT-4o), the techniques employed (one-shot, zero-shot, evaluator-optimizer), and the input data structure. It includes code excerpts (Appendix A-D) showing the blueprint model and generated code, as well as prompt examples (Appendix B). The validation method (comparison with FACTS Analyzer) is also clearly described. Section 4.3 details the step-by-step process.</t>
  </si>
  <si>
    <t xml:space="preserve">quality_appraisal.q2_empirical_or_demonstration_grounding_reasoning</t>
  </si>
  <si>
    <t xml:space="preserve">q2_empirical_or_demonstration_grounding</t>
  </si>
  <si>
    <t xml:space="preserve">Category A/B. The study reports 21 experimental runs on two industrial cases (10 for Case A, 11 for Case B), with per-run results in Tables 5 and 7. Per-stage accuracy is summarized in Fig. 18. Cost, tokens and execution time are reported. Metrics TH, WIP and SEC are defined (Sec. 4.2). Validation used a comparator: models rebuilt in FACTS Analyzer, with deviations reported against a 5–10% threshold and 95% CIs (Sec. 4.4, 5.6). Minor caveats: Case B uses simplified mock-up data and fictitious CPDs, and the case systems are small.</t>
  </si>
  <si>
    <t xml:space="preserve">The study presents two case studies (Case A and Case B) with specific metrics (Throughput, WIP, SEC). Results are reported with means and confidence intervals (e.g., '25 replications', 'relative error of 2%'). Tables 5 and 7 provide detailed results across multiple experimental runs, including error types and KPIs. Section 5.6 compares the LLM-generated models against a commercial simulation software (FACTS Analyzer) to validate accuracy, reporting deviations within acceptable thresholds (5-10%).</t>
  </si>
  <si>
    <t xml:space="preserve">quality_appraisal.q3_validity_and_limitation_discussion_reasoning</t>
  </si>
  <si>
    <t xml:space="preserve">q3_validity_and_limitation_discussion</t>
  </si>
  <si>
    <t xml:space="preserve">Sec. 6.4 discusses several boundaries: the cases are simple ('generalizability of the proposed approach to more complex production scenarios remains to be validated'), there is no time-savings comparison against manual modeling, multi-agent setups were not evaluated, and hyperparameter sensitivity was not studied. It also notes poor C++/XML generation and manual data ingestion. Failure modes appear in Table 10 (hallucination mechanisms) and Sec. 5.5.</t>
  </si>
  <si>
    <t xml:space="preserve">Section 6.4 explicitly discusses limitations, including the simplicity of the tested cases compared to complex real-world systems, output consistency issues, and the need for human oversight. It also discusses future research directions such as testing on more complex scenarios, comparing with manual modeling, and investigating autonomous AI systems. The paper acknowledges that generalizability to more complex production scenarios remains to be validated.</t>
  </si>
  <si>
    <t xml:space="preserve">quality_appraisal.q4_positioning_against_prior_work_reasoning</t>
  </si>
  <si>
    <t xml:space="preserve">q4_positioning_against_prior_work</t>
  </si>
  <si>
    <t xml:space="preserve">quality_appraisal.reproducibility_reasoning</t>
  </si>
  <si>
    <t xml:space="preserve">model_version_reported; prompts_disclosed; decoding_params_reported; code_available; data_available; run_date_reported</t>
  </si>
  <si>
    <t xml:space="preserve">The paper proposes a new RAG-LLM copilot (Section 2) and tests it with an industrial partner (Section 3, 'Industrial case-study'). Two automation engineers at a real manufacturer applied it to three internal ramp-up planning use-cases. The copilot's suggestions were compared against the partner's internal equipment selections. This is a naturalistic setting with real users and real data, so it is classified as evaluation-research. It also has strong solution-proposal traits, since the system itself is novel and the evaluation is modest in depth (?).</t>
  </si>
  <si>
    <t xml:space="preserve">The paper proposes a system (LLM-based copilot) and evaluates it in an operational setting with real users. Section 3 ('Industrial case-study') states: 'The copilot... was presented to our industrial partner... Two automation engineers tested the system on three ramp-up planning use-cases'. This fits the definition of evaluation-research: 'Technique evaluated in practice (naturalistic setting: real organisation, real users, real data in operational use), incl. industrial case studies'.</t>
  </si>
  <si>
    <t xml:space="preserve">A working system was built and deployed: LangGraph, GPT-4o, ChromaDB, SQLite3 and a Gradio UI, hosted on Microsoft Azure (Section 2). It was evaluated in an industrial case study with quantitative outcome counts (Section 3): 'Among the 47 equipment prompts analyzed, three involved selecting the correct equipment type... In 24 instances, a sufficient component was chosen... the selected component was fully suitable in 20 cases'. The outcome categories (correct type, sufficient, fully suitable) work as defined metrics. However, the protocol is only loosely described and the evaluation is partly feedback-based, so it sits near the boundary with prototype (?).</t>
  </si>
  <si>
    <t xml:space="preserve">The system is implemented (Section 3 details the tech stack: LangGraph, GPT-4o, Chroma, SQLite3, Gradio, Azure) and validated through a case study with quantitative metrics. Section 3 reports: 'Among the 47 equipment prompts analyzed... in 20 cases, all requirements were fully met.' This constitutes a working system evaluated under a defined protocol with defined metrics (success rate of requirement fulfillment).</t>
  </si>
  <si>
    <t xml:space="preserve">Text differs (similarity 18%)</t>
  </si>
  <si>
    <t xml:space="preserve">Text differs (similarity 9%)</t>
  </si>
  <si>
    <t xml:space="preserve">The decision concerns production equipment for assembly lines (Sec. 2, Sec. 3). It does not address procurement, distribution or sales. Supplier catalogs are used only as a data source.</t>
  </si>
  <si>
    <t xml:space="preserve">The equipment selected (robots, feeders, vision) is for the production line/assembly process. Section 1 mentions 'production ramp-up' and 'production lines'. Section 3 mentions 'ramp-up planning use-cases' for products. This falls under the 'production' process of the SCP matrix.</t>
  </si>
  <si>
    <t xml:space="preserve">Text differs (similarity 30%)</t>
  </si>
  <si>
    <t xml:space="preserve">No numeric planning time horizon is stated anywhere in the paper. The only time quantities are operational parameters (e.g., '1-h buffer', '8 bushings every 40 s' in Table 1).</t>
  </si>
  <si>
    <t xml:space="preserve">The paper does not explicitly state a time horizon (e.g., '5 years', 'long-term'). It discusses 'ramp-up time reduction' but does not define a strategic planning horizon value.</t>
  </si>
  <si>
    <t xml:space="preserve">The method supports deciding which equipment is installed in the assembly line, a system-configuring decision that determines what exists. Per schema rules this maps to Strategic, although in business terms it is line-level design for new product ramp-up. The paper contains no explicit horizon statement. No tactical or operational allocation or scheduling is supported.</t>
  </si>
  <si>
    <t xml:space="preserve">The decision determines *what* equipment exists in the system (specific robots, feeders, cameras). This is a system-configuring decision. According to the schema, 'Strategic is selected iff system_configuring_decision is true'. The selection of capital equipment for a new product line is a strategic/tactical decision about the configuration of the production system. Given the options, 'Strategic' is the appropriate tier for determining the existence/configuration of major assets.</t>
  </si>
  <si>
    <t xml:space="preserve">The copilot selects the automation equipment (robots, feeders, vision systems) to be integrated into production lines, which determines what equipment exists in the system. Sec. 2: 'This leads to specific equipment within the chosen elementary operation category.' Sec. 3: 'the system was used to derive automation components for robots, feeders, and vision applications within the design process.'</t>
  </si>
  <si>
    <t xml:space="preserve">The method outputs specific equipment models (e.g., 'Hudson Robotics PlateCrane EX', 'Epson Articulated arm robots') to be installed. This determines what exists in the production system. Section 3: 'The system was used to derive automation components...'. This is a decision about the configuration of the production line.</t>
  </si>
  <si>
    <t xml:space="preserve">The authors frame the work as automation design, i.e., configuring what exists. Sec. 1: 'Automation design, especially equipment selection, is critical in reducing ramp-up time'. Sec. 2/Abstract: the copilot is meant to 'guide automation equipment design effectively'. Sec. 3: 'derive automation components for robots, feeders, and vision applications within the design process.'</t>
  </si>
  <si>
    <t xml:space="preserve">The authors state the system provides 'recommendations for automation equipment' (Abstract) and 'selecting the correct equipment' (Section 3). This implies configuring the system with these items. Quote: 'providing a guided and traceable state-machine process for decision-making in automation equipment selection' (Abstract).</t>
  </si>
  <si>
    <t xml:space="preserve">No planning-domain framework (VDI 5200, SC Planning Matrix, etc.) is used to structure the scope. The paper cites a multi-agent design pattern [27] and scientific books for equipment mapping [31], but neither is a planning framework.</t>
  </si>
  <si>
    <t xml:space="preserve">The paper does not cite VDI 5200, SC Planning Matrix, or other specific strategic planning frameworks to structure its scope. It uses a 'state-machine architecture' and 'RAG' (Section 2), which are technical implementation details, not planning-domain theoretical frameworks. It references 'scientific literature' and 'lecture materials' as knowledge sources, but not a planning framework.</t>
  </si>
  <si>
    <t xml:space="preserve">The paper is a short applied system-design letter focused on LLM/RAG architecture for equipment selection. Its scope is structured by an equipment taxonomy (elementary operations and equipment categories, Table B.1) rather than by any planning reference model.</t>
  </si>
  <si>
    <t xml:space="preserve">The paper relies on domain-specific knowledge (lecture slides, supplier catalogs) and LLM/RAG techniques, but does not apply a recognized strategic planning framework like VDI 5200 or the SC Planning Matrix to structure the planning scope.</t>
  </si>
  <si>
    <t xml:space="preserve">Section 2 states: "OpenAI's GPT-4o model [33] is employed as the LLM model and integrated with LangGraph via its API." The open-source all-MiniLM-L6-v2 (Hugging Face) is used only as the embedding model for ChromaDB chunk embeddings. It is a sentence-embedding model, not a generative LLM in the method, so it is not listed. No other LLMs are evaluated. LLMs mentioned in related work (Section 1) are not named specifically.</t>
  </si>
  <si>
    <t xml:space="preserve">Section 3 explicitly states: 'OpenAI's GPT-4o model [33] is employed as the LLM model'. No other LLMs are used in the method; other models are only cited in related work or for embedding (all-MiniLM-L6-v2 is an embedding model, not the primary LLM for generation/reasoning in the agentic loop, though it is part of the RAG pipeline. The schema asks for LLMs deployed and evaluated with the method. GPT-4o is the primary LLM. The embedding model is a component of the RAG integration, not the 'LLM' in the sense of the generative agent, but often included in broad LLM system definitions. However, the prompt asks for 'LLMs deployed...'. GPT-4o is the clear answer. all-MiniLM-L6-v2 is a specific model used for embeddings. I will list GPT-4o as the primary LLM. If 'models' implies all neural models, I should consider the embedding model. However, standard practice in these schemas usually focuses on the generative LLM. I will stick to GPT-4o as the primary LLM agent. The embedding model is part of the RAG integration.</t>
  </si>
  <si>
    <t xml:space="preserve">Text differs (similarity 61%)</t>
  </si>
  <si>
    <t xml:space="preserve">GPT-4o is an OpenAI GPT model (Section 2).</t>
  </si>
  <si>
    <t xml:space="preserve">The model used is GPT-4o, which belongs to the OpenAI GPT family (Section 3).</t>
  </si>
  <si>
    <t xml:space="preserve">GPT-4o is proprietary (OpenAI). The open-source embedding model is not an LLM in the models list.</t>
  </si>
  <si>
    <t xml:space="preserve">GPT-4o is a proprietary model from OpenAI (Section 3). The embedding model all-MiniLM-L6-v2 is open-source, but the primary LLM is proprietary. The schema asks for the status of the models listed in 'models'. Since GPT-4o is the primary LLM, 'N' is appropriate. If 'mixed' is considered, it would be because of the embedding model. However, 'models' usually refers to the generative LLMs. I will mark as 'N' for the primary LLM, but note the embedding model in reasoning if necessary. Actually, the schema says 'Whether the weights of the models listed in models are openly available'. If I only list GPT-4o, it is N. If I list both, it is mixed. The prompt says 'Exact name(s) ... of only those LLMs deployed'. Embedding models are often considered part of the LLM stack. Let's look at the definition: 'LLM/AI intervention details'. I will list GPT-4o. The embedding model is a specific component of RAG. I will classify the primary LLM as N.</t>
  </si>
  <si>
    <t xml:space="preserve">Text differs (similarity 62%)</t>
  </si>
  <si>
    <t xml:space="preserve">Section 2: GPT-4o is "integrated with LangGraph via its API". The figure legend also reads "connected to LLM to API". The application itself is hosted on Microsoft Azure, but the model is accessed through the provider API.</t>
  </si>
  <si>
    <t xml:space="preserve">Section 3 states: 'OpenAI's GPT-4o model [33] is employed as the LLM model and integrated with LangGraph via its API.' The system is hosted on Microsoft Azure, but the LLM itself is accessed via API.</t>
  </si>
  <si>
    <t xml:space="preserve">Inputs are textual requirement prompts and context (Table 1) plus retrieved Markdown text chunks and relational records. No image input is described.</t>
  </si>
  <si>
    <t xml:space="preserve">The system processes text inputs (user prompts, requirements) and text outputs (recommendations). The knowledge bases contain text chunks (Markdown) and structured data. No image or multimodal input is described for the LLM interaction (Section 2, 3).</t>
  </si>
  <si>
    <t xml:space="preserve">Text differs (similarity 41%)</t>
  </si>
  <si>
    <t xml:space="preserve">The paper describes no weight updates. Domain knowledge is supplied via RAG and a relational database (Section 2).</t>
  </si>
  <si>
    <t xml:space="preserve">The paper describes a RAG-based system using pre-prompting and retrieval. There is no mention of fine-tuning, LoRA, or weight updates for the LLM (Section 2, 3).</t>
  </si>
  <si>
    <t xml:space="preserve">Section 2 and Fig. 1 describe a "primary orchestration agent" that orchestrates subcomponents via conditional edges "based on Agent decision". These subcomponents are the equipment selection agent, the structured and semi-structured knowledge systems, and the answer generator. The orchestrator "advances to the answer generator only when all requirements have been fulfilled. If requirements are not yet met, it continues to obtain additional information from the relevant subcomponents." This is a hierarchy with a supervisor routing work to sub-agents. The equipment selection sub-agent internally follows a fixed developer-defined pipeline with an evaluation loop.</t>
  </si>
  <si>
    <t xml:space="preserve">Section 2 states: 'At its core is the primary orchestration agent, which orchestrates subcomponents based on the multi-agent design pattern... These include the equipment selection agent... and the answer generator.' This describes a supervisor (orchestrator) routing work to sub-agents/components. The state machine diagram (Fig 1) shows the orchestration agent directing flow to other LLM-based agents.</t>
  </si>
  <si>
    <t xml:space="preserve">Memory: the system is a LangGraph state machine with a chat interface (Gradio visualizes the chat and the states), giving working state within a session. No persistent cross-session memory is described; the knowledge bases are static stores, not learned experience. Planning/reflection: in the "evaluate selection" step "the LLM reflects the suitability of the decision to alleviate Hallucination" and triggers re-selection (Section 2). Tool use: the orchestration agent decides via conditional edges which knowledge systems or sub-agents to call at run time. This is coded as true with moderate uncertainty (?), since the decision is implemented as LangGraph conditional routing rather than explicit function calling.</t>
  </si>
  <si>
    <t xml:space="preserve">Agent Memory: The system maintains state within the session (state machine, conversation context) but no long-term persistent memory across sessions is described. Planning/Reflection: Section 2 explicitly mentions an 'evaluation selection step, where the LLM reflects the suitability of the decision'. Tool Use: The LLM agents interact with external knowledge systems (RAG, SQL) via the orchestration framework, which implies tool/function calling capabilities to retrieve data (Section 2, Fig 1).</t>
  </si>
  <si>
    <t xml:space="preserve">RAG: the semi-structured knowledge system embeds Markdown chunks from lecture slides and dissertations (chunk size 750, overlap 150) in a Chroma vector database using all-MiniLM-L6-v2 and retrieves the top-3 chunks by dot-product similarity (Section 2). database-SQL: the structured knowledge system uses SQLite3 to map specific equipment to its attributes, linked to supplier catalogs and exposed via the Django REST Framework API (Section 2, Fig. 1).</t>
  </si>
  <si>
    <t xml:space="preserve">Section 2 and 3 explicitly describe a 'semi-structured knowledge system' using RAG with ChromaDB (vector database) and a 'structured knowledge system' using SQLite3 (relational database). The LLM retrieves from both. Section 3 confirms: 'Chroma [35] is used as a vector database... SQLite3 is selected to provide the structured knowledge.'</t>
  </si>
  <si>
    <t xml:space="preserve">The copilot (Section 2) is a LangGraph state machine. GPT-4o selects equipment through RAG retrieval (ChromaDB, all-MiniLM-L6-v2 embeddings) and structured lookups (SQLite3), then uses LLM self-reflection to evaluate the selection. The paper formulates no mathematical program, objective function, metaheuristic, RL, MCDM ranking or solver call. Equipment selection is a decision-support task, but it is done by LLM reasoning over retrieved knowledge, not by formal optimization. 'Optimization' appears only in the literature search string (Appendix A). Discrete-event simulation for comparing equipment options is mentioned only as future work (Section 4).</t>
  </si>
  <si>
    <t xml:space="preserve">The paper describes a decision-support system (copilot) for equipment selection using LLMs and RAG. It does not formulate or solve an optimization problem (e.g., MILP, metaheuristic, MCDM). The process is described as a 'state-machine process' and 'guided... decision-making' based on retrieval and LLM reasoning, not mathematical optimization. Section 2 states: 'providing a guided and traceable state-machine process for decision-making'. Section 4 mentions future work on 'discrete-event simulation' but the current method does not perform optimization.</t>
  </si>
  <si>
    <t xml:space="preserve">Text differs (similarity 50%)</t>
  </si>
  <si>
    <t xml:space="preserve">No optimization tradition is present. Requirements are interpreted informally by the LLM through pre-prompts, and no formal objectives or constraints are stated.</t>
  </si>
  <si>
    <t xml:space="preserve">Since no optimization tradition is present, the formalization level is none. The system uses heuristic rules and LLM inference rather than a formal optimization model.</t>
  </si>
  <si>
    <t xml:space="preserve">Text differs (similarity 42%)</t>
  </si>
  <si>
    <t xml:space="preserve">None: the method uses no optimization paradigm. Simulation-based evaluation of equipment options is proposed only as future work (Section 4).</t>
  </si>
  <si>
    <t xml:space="preserve">No optimization paradigm is used in the proposed method. The system relies on retrieval-augmented generation and LLM-based reasoning.</t>
  </si>
  <si>
    <t xml:space="preserve">The method contains no optimizer. The LLM acts as orchestrator, selector and self-reflective evaluator over the knowledge bases, not in relation to an OR solver. The 'evaluate selection' reflection step checks the LLM's own choice, not an optimization model or solution, so 'verifier' does not apply.</t>
  </si>
  <si>
    <t xml:space="preserve">The LLM acts as a reasoning engine and orchestrator for a decision-support workflow, but there is no underlying optimizer (solver) that the LLM interacts with in the sense of the defined roles (formulator, direct-optimizer, etc.). The LLM generates recommendations based on retrieved knowledge, which is a decision-support task, not an optimization task in the OR sense defined by the schema.</t>
  </si>
  <si>
    <t xml:space="preserve">Text differs (similarity 49%)</t>
  </si>
  <si>
    <t xml:space="preserve">No optimization solver is reported. The tools used are GPT-4o, LangGraph, Chroma, SQLite3, Django REST Framework, Gradio and Azure (Section 2).</t>
  </si>
  <si>
    <t xml:space="preserve">No optimization solver (e.g., Gurobi, CPLEX) is mentioned or used. The system uses databases (SQLite3, ChromaDB) and an LLM API (GPT-4o).</t>
  </si>
  <si>
    <t xml:space="preserve">The evaluation used real automation engineers from a real manufacturer on real internal ramp-up use-cases with operational requirements (Section 3). The comparison against the partner's internal selections was somewhat retrospective, but the users, problem and organisation were real.</t>
  </si>
  <si>
    <t xml:space="preserve">The evaluation was conducted by an 'industrial partner' (real organization) using 'internal use-cases' (real problems) with 'automation engineers' (real users). This fits the definition of naturalistic evaluation (real users, real problem, real organisation/system) as opposed to artificial/lab settings.</t>
  </si>
  <si>
    <t xml:space="preserve">All values come from Section 3 and the Abstract. The paper does not state whether the categories (3/24/20) are mutually exclusive; 3+24+20=47 suggests they are ('?'). Configuration parameters (chunk size 750, overlap 150, top-3 retrieval) and literature search counts are not evaluation metrics and are excluded.</t>
  </si>
  <si>
    <t xml:space="preserve">Metrics are extracted from Section 3 and the Abstract. The paper reports counts of success/failure categories out of 47 total prompts. No percentage or statistical significance is reported, only raw counts.</t>
  </si>
  <si>
    <t xml:space="preserve">Testing was done by two automation engineers of the industrial project partner (Section 3). No third-party or blind external evaluation is described.</t>
  </si>
  <si>
    <t xml:space="preserve">The evaluation was performed by 'Two automation engineers' from the 'industrial partner'. The schema definition states: 'Partner employees testing the system under the authors' protocol do not count.' Therefore, this is not independent evaluation in the strict sense defined by the schema.</t>
  </si>
  <si>
    <t xml:space="preserve">No repeated runs per prompt are reported. The LLM reflection step in 'evaluate selection' is part of the method, not evaluation; outputs were judged against the partner's selections, so llm_as_judge is false. No cost, latency or token metrics are given. No statistical tests or confidence intervals are reported.</t>
  </si>
  <si>
    <t xml:space="preserve">The paper does not report on repeated runs to capture variability (Section 3 describes a single pass of analysis). It does not use an LLM to judge the outputs (humans compared against internal selection). No cost, latency, or token usage metrics are reported. No statistical tests (p-values, confidence intervals) are mentioned.</t>
  </si>
  <si>
    <t xml:space="preserve">Text differs (similarity 27%)</t>
  </si>
  <si>
    <t xml:space="preserve">Section 2: after the LLM's self-evaluation step, the system asks the user for more information when the selection is unsuitable: "In case of an unsuitable selection, additional information about the decision is requested from the user to enhance a further iteration of the equipment selection process based on the reflection." The user therefore answers a system request in the middle of the workflow. The orchestrator also "continues to obtain additional information" until requirements are met.</t>
  </si>
  <si>
    <t xml:space="preserve">Section 2 states: 'In case of an unsuitable selection, additional information about the decision is requested from the user to enhance a further iteration of the equipment selection process based on the reflection, restarting the selection of the elementary operation.' This indicates the system pauses to request human input when requirements are not met or selection is unsuitable.</t>
  </si>
  <si>
    <t xml:space="preserve">Section 2: "The structured knowledge system maps specific equipment such as feeders, robots, and vision systems to their corresponding attributes in a relational format. It is linked to product- and equipment catalogs... The mapping is done based on scientific books." SQLite3 provides this structured knowledge. Table B.1 gives an equipment category/type taxonomy. The ChromaDB RAG corpus on its own would not count.</t>
  </si>
  <si>
    <t xml:space="preserve">Section 2 describes a 'structured knowledge system' that 'maps specific equipment... to their corresponding attributes in a relational format' and is implemented using 'SQLite3'. It also mentions a 'semi-structured knowledge system' using RAG with ChromaDB. The relational database with mapped attributes constitutes explicit, machine-readable domain knowledge formalization.</t>
  </si>
  <si>
    <t xml:space="preserve">Section 3: two automation engineers tested the system on three ramp-up use-cases with 47 equipment prompts. Copilot suggestions were "compared against the internal selection", and outcomes were categorized into levels: correct type but wrong subtype (3), sufficient component meeting most requirements (24), fully suitable meeting all requirements (20). The procedure is only briefly described, so whether this counts as a fully repeatable protocol is uncertain (?).</t>
  </si>
  <si>
    <t xml:space="preserve">Section 3 describes an 'Industrial case-study' where the system was tested on 'three ramp-up planning use-cases'. It reports quantitative results: 'Among the 47 equipment prompts analyzed... 24 involved selecting the correct equipment... and in 20 cases, all requirements were fully met.' This constitutes a defined test set (47 prompts) and scoring criteria (correct type, correct subtype, all requirements met).</t>
  </si>
  <si>
    <t xml:space="preserve">Section 2 covers three stages. Information acquisition: the system retrieves from SQLite3 and ChromaDB (top three chunks). Information analysis: it analyses inputs and structures and groups the requirements. Decision selection: it selects the elementary operation, the equipment type and the specific equipment, then evaluates the selection. It does not implement the decision in any plan or system.</t>
  </si>
  <si>
    <t xml:space="preserve">Information-acquisition: The system retrieves data from relational and semi-structured knowledge bases (Section 2). Information-analysis: The LLM interprets requirements, structures them, and determines elementary operations (Section 2). Decision-selection: The system selects specific equipment types and evaluates suitability (Section 2). It does not perform action-implementation (e.g., ordering or configuring the physical machine), as it is a selection copilot.</t>
  </si>
  <si>
    <t xml:space="preserve">The copilot recommends specific equipment (e.g., "bowl feeder ZSB-N 250-30-110 by RNA"), and the engineers use these as suggestions within the design process. The abstract describes "logical and actionable recommendations". There is no automatic implementation.</t>
  </si>
  <si>
    <t xml:space="preserve">The system provides 'logical and actionable recommendations' (Abstract) and 'suggestions' (Section 3). The human engineer reviews these and makes the final decision. The system does not autonomously implement the selection or veto human choices; it supports the decision-making process. Section 3: 'The components suggested by the copilot were compared against the internal selection.' This implies the human makes the final call.</t>
  </si>
  <si>
    <t xml:space="preserve">This is a demonstration case study (category B). Section 3: two automation engineers at an industrial partner tested the system on three use cases, with 47 equipment prompts compared against the partner's internal selection (3 correct type only, 24 sufficient, 20 fully suitable). The core claims are exercised. However:
- Evaluation criteria are loosely defined.
- There is no baseline comparison, e.g. against plain GPT-4o.
- Most prompts are confidential ("not all prompts can be shown").
- Table 1 examples show copilot suggestions that diverge from the partner's choices (e.g., the feeder case suggests a PlateCrane), which is not discussed critically.</t>
  </si>
  <si>
    <t xml:space="preserve">The study is a design science/case study (Category B). The artifact is demonstrated on three internal use-cases by an industrial partner (Section 3). Results are reported qualitatively and with counts (47 prompts, 24 sufficient, 20 fully suitable). However, there is no statistical analysis, no variance reporting, and no external comparator beyond the partner's internal selection (which is mentioned in Table 1 but not systematically compared in a statistical sense). The grounding is limited to a single partner and a small sample size (47 prompts), lacking broader empirical validation.</t>
  </si>
  <si>
    <t xml:space="preserve">Model: "OpenAI's GPT-4o model" is named without a snapshot date, so model_version_reported is false. The embedding model all-MiniLM-L6-v2 is named.
Prompts: system pre-prompts are not disclosed. Table 1 gives example user context prompts (partial), and others are confidential, so prompts_disclosed is partial.
Decoding: no temperature or other decoding parameters are reported.
Code: Section 5 states "The software will be made available on request", which is not public availability, so code_available is false.
Data: the evaluation data are confidential company prompts, so data_available is false.
Run date: no query dates are reported.</t>
  </si>
  <si>
    <t xml:space="preserve">Model Version: 'GPT-4o' is mentioned (Section 3), but no specific snapshot/date (e.g., gpt-4o-2024-08-06) is provided. Prompts: Table 1 provides examples of input prompts, but the internal system prompts/pre-prompts are not fully disclosed verbatim, only described ('pre-prompt that describes them'). Decoding Params: No temperature, top-p, or max tokens are mentioned. Code: Section 5 states 'The software will be made available on request', which is not public availability. Data: The evaluation data (47 prompts) are not publicly released; only examples are shown in Table 1, and some are withheld due to confidentiality. Run Date: The paper was accepted in Oct 2025, but the specific dates of the model queries during the case study are not reported.</t>
  </si>
  <si>
    <t xml:space="preserve">The paper proposes a novel prompt-engineering method for shopfloor layout generation: structured JSON semantic representation, equipment models, RAG-based prompt templates and a think-generate-evaluate iteration (Sec. 3). It evaluates the method in a lab/experimental setting rather than in operational practice. Evidence: a custom Q&amp;A dataset comparing four LLMs (Sec. 4.1, Table 1, Fig. 11); comparison against a CoT baseline on I-, L- and U-shaped layouts with 8/10/15 elements (Sec. 4.2, Table 2); an ablation study (Table 3). The case study is described as 'a small discrete manufacturing shopfloor', but there is no evidence of deployment in real operational use. This points to validation-research rather than evaluation-research.</t>
  </si>
  <si>
    <t xml:space="preserve">The paper proposes a novel method for shopfloor layout generation using LLMs and validates it through controlled experiments. Section 4.1 describes the construction of a specialized Q&amp;A dataset to test LLM capabilities in a lab setting. Section 4.2 presents 'Method validation' using a case study with defined metrics (space utilization, compliance, constraint satisfaction) and compares the proposed method against a Chain-of-Thought (COT) baseline. The evaluation is conducted on specific test cases (discrete manufacturing scenarios) rather than in an operational industrial setting over time, fitting the definition of validation-research (novel technique evaluated in the lab/artificial setting).</t>
  </si>
  <si>
    <t xml:space="preserve">A working system was implemented and evaluated with defined metrics. Implementation: Mixtral 8x7B was deployed locally (temperature 0.5), with a JSON parser and a THREEJS 3D scene renderer (Sec. 3.1, 4.2). Evaluation used quantitative metrics: space utilization, compliance, layout-requirement accuracy, and comprehensive/relationship constraint satisfaction, compared against a CoT baseline (Table 2), plus an ablation (Table 3) and an accuracy benchmark across four LLMs (Fig. 11). Anchor: 'this paper used the Chain-of-Thought (COT) method as a baseline for comparison experiments.' Caveat: some evaluation involved manual/expert judgment, and the dataset is not public.</t>
  </si>
  <si>
    <t xml:space="preserve">The system is implemented (using Mixtral 8x7B locally, with a defined prompt engineering framework and RAG pipeline) and validated with defined metrics. Section 4.2 explicitly states: 'To evaluate the quality of the layout plans, this paper compared them using the following metrics... completeness and compliance indicators... Space utilization... constraint conditions'. Table 2 and Table 3 provide quantitative results comparing the proposed method to baselines and ablation studies, confirming a working system evaluated under a defined protocol.</t>
  </si>
  <si>
    <t xml:space="preserve">No explicit research questions are stated. The introduction gives aims only, e.g. to 'refine and decompose the complex problem of shopfloor layout by leveraging... large language models' and to 'explore the effects of different dimensional problems on the generation results of LLMs' (Sec. 1).</t>
  </si>
  <si>
    <t xml:space="preserve">The paper does not explicitly list numbered Research Questions (RQs). Instead, it states its aims in the Introduction (Section 1): 'This paper aims to refine and decompose the complex problem of shopfloor layout by leveraging the integrative and creative potential of large language models...' and 'This paper constructed a specialized Q&amp;A dataset to evaluate the boundaries and potential of large language models in the field of shopfloor layout.' While the objectives are clear, they are not formatted as formal RQs.</t>
  </si>
  <si>
    <t xml:space="preserve">The paper addresses shopfloor (workshop) layout design in discrete manufacturing using LLMs (Abstract; Sec. 1; Sec. 3.2.1: 'determine the positioning and arrangement of these elements'). Per Appendix A, facility/factory layout planning maps to factory-planning. No supply chain, network, site-selection or technology-selection aspects are addressed.</t>
  </si>
  <si>
    <t xml:space="preserve">The paper explicitly focuses on 'shopfloor layout generation' and 'factory layout planning'. Section 1 states: 'good shopfloor layout design has become one of the key factors...'. Section 3.1 discusses 'Semantic representation of shopfloor'. This aligns with the 'factory-planning' subdomain defined as 'Factory planning per VDI 5200' or general facility layout.</t>
  </si>
  <si>
    <t xml:space="preserve">The core task is generating shopfloor layouts: equipment coordinates and arrangement under boundary and relational constraints, in I-, L- and U-shaped patterns (Sec. 3.2.1, Sec. 4.2, Table 2). Several elements are side aspects rather than separate planning tasks: the 3D visualization via THREE.js (Sec. 3.1), the spatial-reasoning Q&amp;A benchmark (Sec. 4.1), and the evaluation metric 'space utilization'. They do not constitute simulation-modeling or capacity-dimensioning. The equipment set is given, so no dimensioning is performed.</t>
  </si>
  <si>
    <t xml:space="preserve">The core contribution is a method for 'Shopfloor layout generation' (Title, Abstract). Section 3.2.1 defines the task as determining 'positioning and arrangement of these elements'. This maps directly to 'factory-layout-planning'.</t>
  </si>
  <si>
    <t xml:space="preserve">The layout concerns production shopfloors and production lines with CNC lathes, milling machines, drills and inspection tables (Sec. 4.2). It therefore falls under the production process of the SCP Matrix.</t>
  </si>
  <si>
    <t xml:space="preserve">The layout concerns the arrangement of production equipment (CNC lathes, milling machines) within a manufacturing shopfloor. Section 4.2 mentions 'discrete manufacturing shopfloor' and 'production line'. This falls under the 'production' process in the SCP matrix.</t>
  </si>
  <si>
    <t xml:space="preserve">No time horizon (e.g., years) is stated anywhere in the paper.</t>
  </si>
  <si>
    <t xml:space="preserve">The paper does not specify a time horizon (e.g., '5 years', 'long-term'). It focuses on the method of generating layouts for current or hypothetical scenarios without defining a temporal planning horizon.</t>
  </si>
  <si>
    <t xml:space="preserve">No horizon statements are given. The method produces the physical arrangement of equipment and production lines in a shopfloor (Sec. 3.2.1), i.e., a facility design/configuration decision, and is coded Strategic. This is uncertain ('?'): the set of equipment is preset ('a given layout space with a series of preset layout elements'). The authors also target frequent re-layouts ('enterprises that frequently need to adjust production lines or equipment layouts', Sec. 4.2), which could be argued as mid-term. The decision is still about the physical configuration, not the usage of resources.</t>
  </si>
  <si>
    <t xml:space="preserve">The method determines the physical arrangement and configuration of equipment in the shopfloor. This is a system-configuring decision (what exists and where it is placed), which aligns with the Strategic tier in the context of factory planning (designing the facility structure). It is not tactical (allocating existing resources) or operational (scheduling).</t>
  </si>
  <si>
    <t xml:space="preserve">The method determines the physical positions and arrangement of equipment and production lines in the shopfloor, i.e., the spatial configuration of the production system. Anchor (Sec. 3.2.1): 'The objective is to determine the positioning and arrangement of these elements'. Uncertainty ('?'): equipment types and quantities are given inputs, so no equipment is created or removed; only the layout configuration is decided.</t>
  </si>
  <si>
    <t xml:space="preserve">The method determines the 'positioning and arrangement' of equipment (Section 3.2.1). This defines the physical configuration of the production system (what equipment is where). Section 4.2 discusses generating 'layout schemes' which define the facility structure.</t>
  </si>
  <si>
    <t xml:space="preserve">Sec. 3.2.1: 'Essentially, shopfloor layout is a three-dimensional space design challenge'. Abstract: 'Traditional shopfloor layout design faces limitations...'. The authors frame the task as design of the shopfloor layout, although they do not explicitly say 'system configuration'.</t>
  </si>
  <si>
    <t xml:space="preserve">Section 1: 'good shopfloor layout design has become one of the key factors in improving production efficiency...'. Section 3.2.1: 'The objective is to determine the positioning and arrangement of these elements...'. This explicitly frames the task as designing/configuring the layout.</t>
  </si>
  <si>
    <t xml:space="preserve">Muther's Systematic Layout Planning (SLP) is mentioned only as background in the Introduction ('the most classic approach is Richard Muther's Systematic Layout Planning'). It is not used to structure the method. CoT, ReAct and RAG are prompting techniques and do not count.</t>
  </si>
  <si>
    <t xml:space="preserve">The paper cites 'Systematic Layout Planning (SLP)' by Richard Muther as the 'most classic approach' in Section 1. While SLP is a methodology/framework for layout planning, it is not one of the specific strategic planning frameworks listed in the enum (VDI-5200, SC-Planning-Matrix, etc.). Therefore, 'other' is the appropriate category, specifying SLP.</t>
  </si>
  <si>
    <t xml:space="preserve">The method is structured around prompt engineering (task decomposition into Role/Space/Factory/Request, equipment models, and a think-generate-evaluate iteration) rather than any planning-domain framework. SLP and VDI 5200 are not used to structure the scope.</t>
  </si>
  <si>
    <t xml:space="preserve">Text differs (similarity 44%)</t>
  </si>
  <si>
    <t xml:space="preserve">Inputs are textual prompts with JSON-structured equipment information and a coordinate description; outputs are JSON layouts (Sections 3.1–3.3). No images are fed to the LLM.</t>
  </si>
  <si>
    <t xml:space="preserve">The input to the LLM consists of structured text descriptions, JSON-like data structures for equipment and constraints, and prompt templates (Section 3.1, 3.2). The output is also text/JSON representing coordinates and layout parameters. No images or other modalities are fed into the LLM for the layout generation task itself (3D visualization is a post-processing step using THREEJS, not an LLM input).</t>
  </si>
  <si>
    <t xml:space="preserve">The Discussion states the method 'mainly utilizes the generalized capability of the large language model without deeper downstream task adaptation training'. Fine-tuning is mentioned only as future work.</t>
  </si>
  <si>
    <t xml:space="preserve">Section 5 (Discussion) states: 'the method in this paper mainly utilizes the generalized capability of the large language model without deeper downstream task adaptation training.' It mentions fine-tuning as future work. The method relies on prompt engineering and RAG.</t>
  </si>
  <si>
    <t xml:space="preserve">The method uses a developer-defined fixed cycle of thinking → generation → evaluation, with human decision-making in evaluation and a decreasing task queue as the stopping condition (Section 3.3, Figure 9). The thinking step makes a run-time decision on whether to re-retrieve, which hints at single-agent behaviour (?). However, the outer control structure is a fixed iterative sequence, so it is coded as pipeline. Multi-agent systems are mentioned only as future work.</t>
  </si>
  <si>
    <t xml:space="preserve">The system follows a fixed, developer-defined sequence: Task Description -&gt; RAG Retrieval -&gt; Thinking -&gt; Generation -&gt; Evaluation -&gt; (Loop or End). This is a pipeline of specialized steps (retrieval, reasoning, generation, evaluation) rather than a single autonomous agent deciding its own next action dynamically in an open-ended way, nor a multi-agent system. The 'think-generate-evaluate' loop is a fixed workflow pattern.</t>
  </si>
  <si>
    <t xml:space="preserve">Section 3.3 describes retrieval of equipment knowledge via Word2vec embeddings and cosine similarity, top-k chunks, explicitly within a RAG framework. The JSON-to-3D conversion (parser, GLTF model database, THREEJS, DTDL-style ids) is post-processing visualization not called by the LLM, so digital-twin and database integrations are not coded.</t>
  </si>
  <si>
    <t xml:space="preserve">Section 3.3 explicitly states: 'This indexed information is then added to the prompt template... In the retrieval process, Word2vec technology was used... These operations are standard practices within the Retrieval-Augmented Generation (RAG) framework'. The system retrieves relevant knowledge from a dataset to augment the prompt.</t>
  </si>
  <si>
    <t xml:space="preserve">No optimization solver is reported. The layouts are generated by Mixtral 8x7B (temperature 0.5, locally deployed); GPT-3.5, GPT-4 and ChatGLM3-6B were evaluated only on the spatial Q&amp;A dataset (Sec. 4.1-4.2).</t>
  </si>
  <si>
    <t xml:space="preserve">No external optimization solver (e.g., Gurobi, CPLEX) is used in the proposed method. The 'solver' is the LLM itself (Mixtral 8x7B, GPT-4, etc.).</t>
  </si>
  <si>
    <t xml:space="preserve">Three evaluation settings are used. (1) Test-set: an author-built Q&amp;A dataset of 340 questions (57+85+107+91) across four spatial-reasoning categories was used to test GPT-4, GPT-3.5, Mixtral 8x7B and ChatGLM3-6B. Answers were scored by rule-based coordinate extraction plus manual checks (Sec. 4.1, Table 1, Fig. 11). (2) Single-case: the method was applied to one small discrete manufacturing shopfloor with CNC lathes, CNC milling machines, drilling machines and inspection tables, on one production line, using I/L/U-shaped layout patterns (Sec. 4.2, Fig. 12). (3) Quasi-experimental: a controlled comparison against a CoT baseline on the same tasks at 8/10/15 elements (Table 2), plus a module ablation (Table 3) (Sec. 4.2).</t>
  </si>
  <si>
    <t xml:space="preserve">The paper uses a constructed Q&amp;A dataset to test LLM spatial reasoning capabilities (test-set, §4.1). It applies the method to a specific discrete manufacturing shopfloor scenario with three layout patterns (single-case, §4.2). It compares the proposed method against a Chain-of-Thought (CoT) baseline and performs ablation studies on modules (quasi-experimental, §4.2, Table 2, Table 3).</t>
  </si>
  <si>
    <t xml:space="preserve">All evaluation is artificial. The Q&amp;A test set and the case layout generation were run by the researchers, and results were rendered in 3D with THREE.js. The source data came from enterprise documents, but there was no deployment with real users and no use of generated layouts in an operational shopfloor (Sec. 4.1-4.2).</t>
  </si>
  <si>
    <t xml:space="preserve">The evaluation is conducted on a constructed Q&amp;A dataset and a simulated shopfloor case study using enterprise data, but not in a live operational environment with real users making decisions. The case study is described as a 'small discrete manufacturing shopfloor' case study, but the validation is computational/simulated via LLM generation and metric scoring, fitting the 'artificial' paradigm (lab/test set/illustrative case) rather than 'naturalistic' (real users, real organization in operational use).</t>
  </si>
  <si>
    <t xml:space="preserve">A Chain-of-Thought (CoT) prompting baseline, run on Mixtral 8x7B with up to 10 reasoning rounds and expert guidance, was compared with the proposed method (Sec. 4.2, Table 2). The comparison of four LLM backbones on the Q&amp;A set and the ablation study do not count as comparators. The authors explicitly state that traditional optimization methods are not directly comparable, so no conventional-method comparator was used.</t>
  </si>
  <si>
    <t xml:space="preserve">The paper compares the proposed method against a Chain-of-Thought (CoT) prompting baseline using the same LLM (Mixtral 8x7B) in Section 4.2 and Table 2. CoT is a prompting strategy/LLM method, fitting 'prior-AI-ML'. No human planners or conventional non-AI solvers (like genetic algorithms) are used as direct comparators in the results tables, though they are mentioned in related work.</t>
  </si>
  <si>
    <t xml:space="preserve">Evaluation used rule-based checks plus manual evaluation by the authors' team. Expert review was applied to dataset construction, and experts guided the CoT baseline. Nothing indicates that external, independent evaluators judged the outputs.</t>
  </si>
  <si>
    <t xml:space="preserve">The evaluation is conducted by the authors. The Q&amp;A dataset was designed by 'professional team members' (likely the authors or their collaborators at Donghua University/Baosight). The case study validation and metric scoring are performed by the research team. There is no mention of third-party independent evaluators or blind testing by external experts.</t>
  </si>
  <si>
    <t xml:space="preserve">The number of repeated runs per item is not reported; temperature was fixed at 0.5. The method's internal 'evaluation' step uses LLM assessment combined with human decision-making inside the generation loop (Fig. 9), but the reported results were scored by rule-based plus manual evaluation, so llm_as_judge is false (borderline). No cost, latency or token metrics are reported. No significance tests or confidence intervals are reported.</t>
  </si>
  <si>
    <t xml:space="preserve">Repeated runs: Not explicitly stated how many times each test was run to average out LLM variability, though 'temperature parameter fixed at 0.5' is mentioned. LLM as judge: The evaluation uses rule-based extraction of coordinates and manual evaluation by experts, not an LLM judging the output. Efficiency metrics: Token counts are reported in Table 1 for the dataset (Avg Q/A tokens), but not as a performance metric for the system's efficiency (e.g., cost/time per layout generation). Statistical testing: No p-values, confidence intervals, or significance tests are reported in the tables or text.</t>
  </si>
  <si>
    <t xml:space="preserve">Section 3.3: the evaluation step combines LLM assessment with human decisions: "The evaluation part is to evaluate the LLMs of the generated layout and make manual decisions, and conduct a comprehensive evaluation of the generated layout and guidance for necessary adjustments." Figure 9 shows "Decision-making + LLMs Assessment". Section 5 adds that the method relies on "the need for expert involvement during generation".</t>
  </si>
  <si>
    <t xml:space="preserve">The paper explicitly describes an iterative cycle of 'think-generate-evaluate' where the evaluation step involves human judgment. Section 3.3 states: 'The evaluation part is to evaluate the LLMs of the generated layout and make manual decisions, and conduct a comprehensive evaluation of the generated layout and guidance for necessary adjustments.' Additionally, Section 4.2 mentions that for the COT baseline, 'experts who are familiar with the prompt engineering... continue to give appropriate layout knowledge and prompts for guidance'. This indicates humans are actively involved in reviewing outputs and steering the process.</t>
  </si>
  <si>
    <t xml:space="preserve">Section 3.1 defines an information metamodel as a UML class diagram (Fig. 1). It specifies classes Shopfloor, Production line unit, Equipment, Basic Information, Geometric Information, Relationship constraints, Comprehensive constraints and Restricted Configurations. It is instantiated as JSON (Fig. 2) and checked by a parser. Section 3.2.2 adds equipment models: mathematical, text information and constraint models. Section 3.2.3 defines knowledge units of elements E and relations R, which are retrieved via RAG.</t>
  </si>
  <si>
    <t xml:space="preserve">The paper proposes a 'semantic representation of shopfloor based on information metamodel' (Section 3.1). It defines a structured format using JSON to represent shopfloor levels, production lines, and equipment with specific attributes (uuid, position, width, length, constraints). This is an explicit, machine-readable structure used to feed the LLM, distinct from free-text prompts. Section 3.1: 'This paper seeks a structured format to provide LLMs with a clearly defined physical context... a fixed and uniform format for layout elements was designed'.</t>
  </si>
  <si>
    <t xml:space="preserve">Section 4.1 builds a custom Q&amp;A dataset (Table 1: 340 questions in 4 categories). It is scored by accuracy using rule-based coordinate extraction plus manual checks, comparing GPT-4, GPT-3.5, Mixtral and ChatGLM3. Section 4.2 compares the method with a COT baseline for 8/10/15 elements on I/L/U layouts (Table 2). Metrics are space utilization, compliance, layout requirements and comprehensive/relationship constraints. An ablation is reported in Table 3.</t>
  </si>
  <si>
    <t xml:space="preserve">The paper constructs a specialized Q&amp;A dataset to evaluate LLM spatial reasoning capabilities (Section 4.1) and uses specific metrics (space utilization, compliance, constraint satisfaction) to compare the proposed method against a Chain-of-Thought baseline in case studies (Section 4.2). Table 2 and Table 3 present quantitative results based on these defined metrics.</t>
  </si>
  <si>
    <t xml:space="preserve">The system generates layout schemes, but evaluation involves 'manual decisions' (Sec 3.3, Fig 9 'Decision-making + LLMs Assessment'). Sec 5 notes the method needs 'expert involvement during generation'. Humans therefore evaluate and decide on the generated layouts. Whether this should be coded as recommendation instead is uncertain (?), since a single layout is produced.</t>
  </si>
  <si>
    <t xml:space="preserve">The system generates layout schemes (options) which are then evaluated by a human expert. The human makes the final decision on whether the layout is acceptable or needs adjustment. Section 3.3: 'The evaluation part is to evaluate the LLMs of the generated layout and make manual decisions'. The system does not autonomously implement the layout or veto human decisions; it provides the plan for human review.</t>
  </si>
  <si>
    <t xml:space="preserve">The overall method is described conceptually: an information metamodel (Sec. 3.1, Fig. 1-2), a task decomposition 'Task {Role, Space, Factory, Request}' (Sec. 3.2.1), a prompt template structure (Sec. 3.2.3, Fig. 7), and Word2vec/cosine RAG retrieval with a 'think-generate-evaluate' loop (Sec. 3.3, Fig. 8-9). Details needed for replication are missing. No verbatim prompts are given. The knowledge base contents and the top-k value are not specified. The evaluation step involves 'manual decisions' that are not operationalized. Metric computation (e.g., space utilization, compliance) is not formally defined. The RAG part is 'briefly summarized here without in-depth discussion'.</t>
  </si>
  <si>
    <t xml:space="preserve">The paper describes the high-level architecture (information metamodel, prompt template structure, RAG retrieval using Word2vec, and the 'think-generate-evaluate' loop) in Section 3. However, specific implementation details are missing: the exact prompt templates are not provided verbatim (only described structurally in Figure 7), the specific vector database or embedding model details are sparse (only 'Word2vec' mentioned), and the code is not provided. The logic is clear, but replication would require guessing at the specific prompt wording and retrieval configuration.</t>
  </si>
  <si>
    <t xml:space="preserve">Model version: GPT-3.5 (turbo) and GPT-4 are given without snapshots or dates. ChatGLM3-6B is identified by 'the version newly released on 14 March 2024' and Mixtral 8x7B by name only, so not every model has an exact version (false).
Prompts: only the template structure (Fig. 7) and paraphrased examples of thinking/generation/evaluation triples (Fig. 9) are shown; no verbatim prompts (partial).
Decoding: 'temperature parameter fixed at 0.5' is stated for the Mixtral case study (Sec. 4.2); decoding settings for the other models in the Q&amp;A test are not given. Since decoding parameters are reported for the main experiment, I mark this true.
Code: no repository or link is given (false).
Data: 'this data cannot be made public' due to proprietary enterprise information (false).
Run date: no query dates are given (false).</t>
  </si>
  <si>
    <t xml:space="preserve">Model versions: GPT-3.5 (turbo), GPT-4, ChatGLM3-6B (version released 14 March 2024), Mixtral 8x7B. GPT-4 and GPT-3.5 lack specific snapshot dates. Prompts: Structure described in Fig 7, but full text not provided. Decoding: Temperature 0.5 reported for Mixtral in Section 4.2. Code: No link provided. Data: Section 4.1 states 'this data cannot be made public' due to proprietary enterprise information. Run date: Not explicitly stated for the API calls, only the ChatGLM release date is mentioned.</t>
  </si>
  <si>
    <t xml:space="preserve">The paper proposes a novel system (SCSimulator, Sec. 4) and evaluates it in lab/artificial settings: a technical evaluation with 80 simulation runs against historical data (Sec. 5.1), an expert-based Likert evaluation with ten master's students (Sec. 5.2), a usage scenario (Sec. 6), and a lab user study with 12 participants (Sec. 7). The authors state that it has not been deployed in operational practice. Sec. 8.4.1: "it was conducted in short-term, laboratory-based settings... Future work will prioritize long-term, in-situ deployments." This makes it validation-research rather than evaluation-research.</t>
  </si>
  <si>
    <t xml:space="preserve">The paper proposes a novel system (SCSimulator) and evaluates it in a controlled laboratory setting. Section 5 describes a 'Technical Evaluation' using a constructed dataset and quantitative metrics (ACC, Precision, Recall, F1, Gwet's AC1). Section 7 describes a 'User Study' with 12 participants in a lab setting using a think-aloud protocol and NASA-TLX scales. This fits the definition of validation-research: 'Novel technique evaluated in the lab / artificial setting... not yet used in practice'.</t>
  </si>
  <si>
    <t xml:space="preserve">There is a working system with a frontend and a backend (Sec. 4). It was evaluated under defined protocols with defined metrics: ACC, Precision, Recall, F1, Gwet's AC1 and consistency ratio across three LLMs (Table 1, Sec. 5.1); expert Likert ratings (Table 2); and a user study (N=12) using NASA-TLX and usability/effectiveness questionnaires (Table 5, Sec. 7). Anchor: "We conducted 80 independent runs on 4 key nodes with fully observed data."</t>
  </si>
  <si>
    <t xml:space="preserve">The system is a working prototype (SCSimulator) that has been evaluated under a defined protocol with defined metrics. Section 5.1 reports quantitative performance metrics (Table 1) and Section 7.3 reports usability and effectiveness metrics (Table 5) from a user study. This meets the criteria for 'implemented-validated': 'Working system + evaluation under a defined protocol with defined metrics... user study'.</t>
  </si>
  <si>
    <t xml:space="preserve">The paper states no explicit research questions. It frames the work through three challenges (Sec. 1), four formative challenges C1-C4, three findings F1-F3, and seven design requirements DR1-DR7 (Sec. 3). None of these are phrased as research questions.</t>
  </si>
  <si>
    <t xml:space="preserve">The paper does not explicitly list numbered Research Questions (RQs). Instead, it identifies 'three major challenges' in Section 1 (Representing Dynamic Relationships, Revealing Agent Reasoning and Impact, Balancing Adaptive Autonomy with Expert Intervention) and derives 'seven design requirements' (DR1-DR7) in Section 3.4. While these guide the work, they are not framed as formal research questions in the standard academic sense (e.g., 'RQ1: How does...?'). Therefore, 'NR' is appropriate as no verbatim RQs are stated.</t>
  </si>
  <si>
    <t xml:space="preserve">The paper addresses partner selection in supply chains: which supplier-customer links firms form or dissolve (Sec. 1, 4.1.2). This maps best to SC-network-design, since the decisions are the creation or removal of network links between suppliers and customers. It is a boundary case. The focus is firm-level partner selection, i.e. supplier and customer base, rather than a full multi-echelon network configuration with facilities. No other subdomain fits.</t>
  </si>
  <si>
    <t xml:space="preserve">The paper focuses on 'partner selection in Supply Chains' and simulating the evolution of 'SC evolution via adaptive network structures'. This aligns with the definition of SC-network-design (Supply chain network design), specifically regarding the configuration of relationships (links) between nodes (firms). It is not factory planning, site selection, or GPN design in the traditional manufacturing footprint sense, but rather the strategic configuration of the supply chain network itself.</t>
  </si>
  <si>
    <t xml:space="preserve">The core task is partner selection, i.e. selection of suppliers and customers (Sec. 1: 'partner selection problem is a typical multi-objective dynamic game problem'). This maps to supplier-sourcing-network-strategy. Customer selection is also part of the task and is covered under 'sales'. The method is an LLM-driven multi-agent simulation for exploratory what-if analysis (Sec. 4.1.2, 8.1.1), so simulation-modeling also applies. The paper explicitly does not perform resilience scenario planning, although robustness is mentioned as context.</t>
  </si>
  <si>
    <t xml:space="preserve">The core task is 'partner selection', which maps to 'supplier-sourcing-network-strategy' (Supplier selection and sourcing-network strategy). The method explicitly uses 'LLM-driven Multi-Agent Simulation' (MAS) to explore these decisions, which maps to 'simulation-modeling' (Simulation modeling for planning). The paper states: 'SCSimulator... integrates LLM-driven MAS... for SC partner selection.'</t>
  </si>
  <si>
    <t xml:space="preserve">Agents decide whether to seek suppliers or seek customers (prompt field 'is_seek_suppliers', Appendix A Listing 2). The usage scenario focuses on acquiring new customers in new sectors (Sec. 6). Procurement covers supplier selection; sales covers customer and market selection.</t>
  </si>
  <si>
    <t xml:space="preserve">The paper discusses selecting 'upstream and downstream stakeholders', 'suppliers', and 'customers'. This involves both the procurement side (selecting suppliers) and the sales/distribution side (selecting customers/partners for demand). Section 1 mentions 'evaluating the capabilities of (potential) upstream and downstream stakeholders'.</t>
  </si>
  <si>
    <t xml:space="preserve">This is not a factory planning study.</t>
  </si>
  <si>
    <t xml:space="preserve">The paper is not about factory planning per VDI 5200. It is about supply chain partner selection and network dynamics. Therefore, VDI 5200 phases are not applicable.</t>
  </si>
  <si>
    <t xml:space="preserve">No planning horizon such as 'X years' is stated. The paper mentions simulation turns in quarters (reference length and simulation turns of 4 quarters, Sec. 6.2) and a dataset of 8 quarters (2023–2024). These are simulation and data parameters, not a stated planning horizon.</t>
  </si>
  <si>
    <t xml:space="preserve">The paper does not explicitly state a fixed planning horizon like '5 years' or '2025-2030'. It uses 'quarters' (e.g., Q8-Q12) for simulation steps and mentions 'long-term development' qualitatively, but no specific strategic time horizon value is defined as a constraint or output parameter in the standard sense.</t>
  </si>
  <si>
    <t xml:space="preserve">Strategic is selected because the decisions create or remove supplier-customer links, which determines the network structure. Examples: Stage III 'request collaborations' and termination requests (Sec. 4.1.2), and 'dropping old partners' in the usage scenario. The decisions are made quarter by quarter in simulation, so a tactical reading is possible, but the paper frames them as strategic repositioning (e.g. market entry). The tier is uncertain ('?').</t>
  </si>
  <si>
    <t xml:space="preserve">The paper addresses 'partner selection', which is described as a 'strategic' decision involving 'long-term development' and 'strategic objectives'. Section 1 states: 'Identifying and sustaining effective partnerships has become a central task in strengthening SC robustness...'. Section 6.3 mentions 'long-term development'. This is a system-configuring decision (who are the partners), which falls under the Strategic tier.</t>
  </si>
  <si>
    <t xml:space="preserve">The authors use strategic framing such as 'strategic considerations', 'strategic deliberation' (Sec. 8.1.1), 'aligned with their expectations and strategic priorities' (Abstract), and 'strategic interactions among firms' (Sec. 4.1.2). They make no explicit tier claim such as 'strategic planning horizon', so this is a loose attribution ('?').</t>
  </si>
  <si>
    <t xml:space="preserve">The authors frame the problem as 'partner selection' and 'strategic objectives'. In Section 1, they refer to 'strategic considerations' and 'strategic alignment'. In Section 6.4, they discuss 'strategic optimization'. This implies a strategic horizon.</t>
  </si>
  <si>
    <t xml:space="preserve">Partner selection decisions add or remove network links (supplier-customer relationships). Sec. 4.1.2 Stage III: 'agents ... select suitable companies as collaboration targets ... if a Plan involves reducing collaborations ... agents issue termination Requests'. Sec. 8.3: 'edge formation and deletion'.</t>
  </si>
  <si>
    <t xml:space="preserve">The decision determines which firms are partners (links in the network). The paper states: 'agents continuously adapt and restructure their relationships', 'forming or dissolving a partnership', 'adding or removing entries'. This changes the structure of the supply chain network (what exists), which is a system-configuring decision.</t>
  </si>
  <si>
    <t xml:space="preserve">The paper uses MCDM and game theory as general methods and cites a request-response cycle from the partner selection literature [38, 73]. It uses no planning-domain framework such as the SC Planning Matrix to structure its scope.</t>
  </si>
  <si>
    <t xml:space="preserve">The paper cites MCDM and Game Theory as underlying principles, but these are general methods, not specific planning-domain frameworks like VDI 5200 or the SC Planning Matrix used to structure the scope. It does not cite Lanza et al., Wiendahl-Nyhuis, or Melo et al. as the primary structuring framework for the planning scope.</t>
  </si>
  <si>
    <t xml:space="preserve">Only general methods (MCDM, GT, multi-agent simulation, SHAP) and background literature are cited. No planning-domain reference model structures the scope.</t>
  </si>
  <si>
    <t xml:space="preserve">The paper uses MCDM and Game Theory as theoretical underpinnings for the agent logic, but does not adopt a specific strategic planning framework (like VDI 5200 or SC Planning Matrix) to structure its scope or methodology. It is a novel LLM-driven MAS approach.</t>
  </si>
  <si>
    <t xml:space="preserve">ChatGPT-4o belongs to the OpenAI GPT family, Gemini-2.5-flash to Google Gemini, and Qwen3-VL-Flash to Alibaba Qwen (Table 1).</t>
  </si>
  <si>
    <t xml:space="preserve">ChatGPT-4o belongs to the GPT family (OpenAI). Gemini-2.5-flash belongs to the Gemini family (Google). Qwen3-VL-Flash belongs to the Qwen family (Alibaba). This is based on standard model naming conventions and the explicit names provided in Table 1.</t>
  </si>
  <si>
    <t xml:space="preserve">Text differs (similarity 33%)</t>
  </si>
  <si>
    <t xml:space="preserve">Sec. 8.4.2 states the system is limited to about 50 agents 'due to the performance constraints of API-based LLM access.'</t>
  </si>
  <si>
    <t xml:space="preserve">Section 8.4.2 mentions 'performance constraints of API-based LLM access' as a limitation for scaling. The models listed (ChatGPT, Gemini, Qwen) are typically accessed via API in such research contexts, and no local inference infrastructure is described.</t>
  </si>
  <si>
    <t xml:space="preserve">The prompts in Appendix A contain only text: company info, features, network links and knowledge. Qwen3-VL is a vision-language model, but it receives only text here.</t>
  </si>
  <si>
    <t xml:space="preserve">The inputs to the LLM agents are structured text prompts containing company profiles, network data, and knowledge (Section 4.1.2, Appendix A). The outputs are JSON-formatted text decisions. No image or audio inputs are described for the LLM agents themselves.</t>
  </si>
  <si>
    <t xml:space="preserve">No fine-tuning is reported. Agents rely on persona-based prompts (Sec. 8.4.2), and specialized LLMs are mentioned only as future work.</t>
  </si>
  <si>
    <t xml:space="preserve">The paper describes using 'persona-based prompts' (Section 8.4.2) and does not mention any fine-tuning, LoRA, or weight updates for the LLMs. The agents are driven by prompting and context injection.</t>
  </si>
  <si>
    <t xml:space="preserve">Each firm is an autonomous LLM agent, and these peer agents interact by sending requests to and replying to one another (Sec. 4.1.2, Fig. 2), with no controlling agent. Within each agent the four stages form a fixed developer-defined sequence, but the outermost structure is peer agent interaction.</t>
  </si>
  <si>
    <t xml:space="preserve">The system models each company as an 'autonomous agent' (Section 4.1.2). These agents interact with each other in a peer-to-peer manner (requesting and replying to other agents) without a central supervisor agent controlling the flow of the simulation logic itself (the simulation engine orchestrates the turns, but the decision-making is distributed among peer agents). This fits the 'multi-agent' definition of several peer agents interacting.</t>
  </si>
  <si>
    <t xml:space="preserve">Memory: agents receive the previous 'Reference Length' time steps of SC state, and stage outputs within a turn are passed forward. There is no persistent episodic memory store, so this is coded short-term ('?'). Planning: Stage I explicitly asks the LLM to formulate Plans with Reasons before acting. Tool use: query functions are predefined and called by the pipeline using the LLM's JSON constraints, so the LLM does not autonomously decide to call tools.</t>
  </si>
  <si>
    <t xml:space="preserve">Agent Memory: Agents maintain state across simulation turns (e.g., current partners, knowledge) which is passed in the prompt context, representing short-term/session memory. Planning/Reflection: The 'Plan' stage explicitly involves formulating strategy objectives and reasons, and the 'Reply' stage involves assessing proposals, which constitutes planning and reflection on incoming actions. Tool Use: The agents do not dynamically decide to call external tools at runtime; instead, the system framework provides query functions and data structures that are used in the fixed pipeline stages (Query stage uses predefined query functions). The LLM generates the parameters for these queries, but the execution is part of the fixed workflow, not autonomous tool selection in the ReAct sense.</t>
  </si>
  <si>
    <t xml:space="preserve">Borderline case (?). The paper frames partner selection as an integrated MCDM-GT problem (Sec. 1, 2.1). Within the method itself, Stage II (Query) of the LLM-driven MAS (Sec. 4.1.2; Listing 3) has each agent convert its Plan into constraints (an industry set) and feature weights ('weighted_scores'). Predefined query functions then 'retrieve and rank a list of companies that best satisfy the weighted criteria'. This is a weighted-sum multi-criteria ranking, which is what qualifies as an optimization-tradition element. The rest of the pipeline is not an OR formulation: the LLM handles Plan, Request and Reply, and the regression, SHAP and VGAE components serve prediction and explanation. No MILP, metaheuristic, RL or solver is used by the method. RL and mathematical models appear only in related work as prior MAS approaches.</t>
  </si>
  <si>
    <t xml:space="preserve">The paper explicitly states that the partner selection problem is a 'multi-objective dynamic game problem, which integrates the core principles from Multi-Criteria Decision-Making (MCDM) and Game Theory (GT)' (Section 1). The system implements an MCDM component where agents define 'weighted scores' for features to rank candidates (Section 4.1.2, Stage II: Query). Additionally, it uses predictive models (regression) to evaluate performance, which is a form of optimization/scoring for decision support. While it is primarily a simulation framework, the underlying decision logic relies on MCDM principles.</t>
  </si>
  <si>
    <t xml:space="preserve">No optimization solver is reported. Ranking is done by 'predefined query functions'. The regression models (Linear, Lasso, RF, Gradient Boosting) and SHAP are used for prediction and explanation, not optimization.</t>
  </si>
  <si>
    <t xml:space="preserve">No traditional optimization solver (e.g., Gurobi, CPLEX) is used. The system uses LLMs for decision generation and standard machine learning libraries (implied by Random Forest, Lasso, etc.) for prediction, but no OR solver is mentioned.</t>
  </si>
  <si>
    <t xml:space="preserve">No alternative method was applied to the same task. §5.1 compares only LLM backbones (ChatGPT-4o, Gemini-2.5-flash, Qwen3-VL-Flash) and compares outputs against observed data; neither counts as a comparator. §8.4.1 explicitly states no baseline system comparison was included in the user study.</t>
  </si>
  <si>
    <t xml:space="preserve">The paper compares the performance of different LLM backbones (ChatGPT-4o, Gemini, Qwen3) in Table 1, but this is an ablation/comparison of components, not a comparator method for the task. The evaluation compares simulation outputs to 'observed network' (ground truth), which is not a comparator method. There is no comparison against a human planner or a conventional non-AI method for the same task. The user study does not compare against a baseline system (Section 8.4.1: 'we did not include direct comparisons with baseline systems').</t>
  </si>
  <si>
    <t xml:space="preserve">The expert evaluation used master's students acting as experts. User study participants were recruited from research institutes and companies at partner universities and followed the authors' protocol. No blind third-party evaluation was reported.</t>
  </si>
  <si>
    <t xml:space="preserve">The quantitative evaluation is automated. The expert evaluation (Section 5.2) was conducted with 'ten master's students trained in management, who acted as domain experts'. These are not the authors, but they are not independent third-party experts in the strict sense of 'blind' or 'external' validation; they are participants in the study. The user study (Section 7) involved 12 participants, also not the authors. However, the definition of 'independent_evaluation' is 'Y only if the evaluation was run or judged by people other than the authors and their project partners'. The participants are 'master's students' and 'managers' from 'partner universities' or 'companies'. Section 7.1 says 'recruited 12 new participants... from research institutes and companies at partner universities'. This suggests they are not the authors. However, the 'expert-based subjective evaluation' in Section 5.2 uses 'ten master's students... who acted as domain experts'. This is a user study/expert study. Is it 'independent'? The authors did not judge it. The participants did. So it is judged by people other than the authors. But are they 'independent'? They are recruited participants. The definition says 'Y only if... judged by people other than the authors'. This fits. However, often 'independent evaluation' implies a separate, external validation not part of the main study. Here, the user study *is* the evaluation. I will mark it as 'N' because the evaluation is part of the paper's own study design, not an independent external validation. The participants are not 'third-party testers' in the sense of an independent audit, but rather subjects of the user study. The schema definition is slightly ambiguous. 'Partner employees testing the system under the authors' protocol do not count.' The participants are students/managers, not necessarily partners. But they are recruited for the study. I will stick with 'N' as it is a standard user study, not an independent external evaluation.</t>
  </si>
  <si>
    <t xml:space="preserve">Humans act on intermediate LLM output inside the workflow. In the Adjustment View (Sec 4.2.5), users can modify agents' Plans and Candidates: "Users can intervene in both Plans and Candidates using dedicated controls: (Negate)... (Add)... (Delete)... (Apply Modify) to confirm the changes." Users also edit agent Knowledge and rerun simulations (Sec 4.2.2; Sec 6.3–6.4). On the Upload Page, users review and modify the LLM agent's data mappings: "users can directly review and modify the mappings" (Sec 4.2.1).</t>
  </si>
  <si>
    <t xml:space="preserve">The system explicitly integrates a 'human-in-the-loop collaboration mechanism' (Section 4). Users can 'interactively guide agent behaviors' via the Adjustment View (Section 4.2.5), 'modify specific company agents at selected timestamps' (DR6), and 'iteratively adjust simulation settings' (Abstract). The user study confirms participants 'configured external knowledge to intervene in the simulation' (Section 5.2).</t>
  </si>
  <si>
    <t xml:space="preserve">human-override: users edit or veto agents' intermediate plans, candidate choices and request decisions in the Adjustment View (Sec 4.2.5, Fig 6). what-if-interface: users change Knowledge and parameters to explore alternative trajectories, and can branch paths in the Simulation Path View: "MAS-supported 'what-if' exploration" (Sec 8.1.1; DR7). iterative-feedback: users follow a "simulate-check-adjust cyclic process" (Sec 8.3). The usage scenario shows Round 1 results informing revised Knowledge for Round 2 (Sec 6.4).</t>
  </si>
  <si>
    <t xml:space="preserve">1. What-if-interface: Users 'explore outcomes aligned with their expectations' (Abstract) and 'explore alternative trajectories' (DR7). 2. Human-override: Users can 'Negate' rejected collaborations, 'Add' or 'Delete' candidates, and 'Apply Modify' to confirm changes, effectively overriding agent decisions (Section 4.2.5). 3. Iterative-feedback: The workflow involves 'iteratively refine it through multiple rounds of expert feedback' (Section 1) and users 'iteratively adjust simulation settings' (Abstract).</t>
  </si>
  <si>
    <t xml:space="preserve">Uncertain (?). The system maps raw data into a structured simulator template with three dimensions, Network, Feature and Knowledge (Sec 4.1.1): "the SC is conceptualized through three complementary dimensions, Network, Feature, and Knowledge." Firm features were expert-scored on Operation, Technology and Reputation on a 0–100 scale (Sec 5). Agents output strict JSON schemas with fields such as industry_set, weighted_scores and is_seek_collaboration, which feed predefined query functions (Appendix A). However, the Knowledge component itself is free text in prompts, which does not count on its own.</t>
  </si>
  <si>
    <t xml:space="preserve">The system uses a 'structured template' for data mapping (Section 4.2.1) and defines a tri-dimensional representation of companies: Network, Feature, and Knowledge (Section 4.1.1). The 'Knowledge' component includes 'global knowledge' and 'firm-specific knowledge' that informs strategic objectives (Section 4.1.1). The prompts in Appendix A show structured JSON formats for plans, queries, and requests, indicating a formalized schema for domain entities and constraints.</t>
  </si>
  <si>
    <t xml:space="preserve">Sec 5.1 defines a repeatable protocol: "We conducted 80 independent runs on 4 key nodes... 4 consecutive time steps served as historical input, and the simulated network evolution was evaluated against the observed network at the subsequent step." It reports ACC, Precision, Recall, F1, Gwet's AC1 and consistency ratio across three LLMs. Sec 5.2 adds an expert evaluation using 5-point Likert items (Table 2). Sec 7 reports a user study with NASA-TLX, usability and effectiveness questionnaires.</t>
  </si>
  <si>
    <t xml:space="preserve">The paper describes a 'Technical Evaluation' (Section 5) with 'quantitative performance metrics' (ACC, Precision, Recall, F1, Gwet's AC1) and 'expert-based subjective assessments' (Likert scales). It also includes a 'User Study' (Section 7) with 12 participants, using NASA-TLX and custom usability/effectiveness questionnaires. The procedure is defined with specific tasks and time limits.</t>
  </si>
  <si>
    <t xml:space="preserve">The system generates exploratory simulated trajectories and alternatives; the human evaluates them and makes the real partner-selection decision. The paper states "SCSimulator is not positioned as an autonomous decision-making system" (Sec 8.1.3), and the system improves decisions "by expanding the space of considered alternatives" rather than producing optimal answers (Sec 8.1.1). Agent decisions within the simulation are autonomous, but they do not constitute the real-world decision.</t>
  </si>
  <si>
    <t xml:space="preserve">The system is described as a 'heuristic, exploratory tool' and 'proof-of-concept' (Abstract). It 'assists' decision-makers (Section 1). Users must 'actively influence simulation process' (Section 1) and 'review detailed simulation procedures and interactively guide agent behaviors' (Section 4). The agents generate plans and requests, but the final decision to accept/reject or modify is often mediated by the user's intervention or the user's review of the simulation outcomes. The system does not autonomously execute real-world business decisions; it simulates them for exploration. The user 'decides' which path to take or which modifications to apply. Thus, it provides options/simulations for the human to evaluate.</t>
  </si>
  <si>
    <t xml:space="preserve">§5.1 defines its metrics: ACC, Precision, Recall, F1, Gwet's AC1 and consistency ratio (CR) with thresholds. These are reported over 80 runs on 4 nodes across three LLMs, which act as comparators (Table 1). However, no variance is reported for these metrics, and there is no non-LLM baseline. §5.2 reports expert Likert ratings with mean and SD (n=10). The user study (N=12, §7) reports means and SDs per group (Table 5). A usage scenario (§6) exercises the core claims. Overall the grounding is adequate, but the comparators are limited: 'we did not include direct comparisons with baseline systems' (§8.4.1).</t>
  </si>
  <si>
    <t xml:space="preserve">The paper includes a technical evaluation (Section 5) with quantitative metrics (ACC, Precision, Recall, F1, Gwet's AC1) comparing three LLMs (ChatGPT-4o, Gemini, Qwen3) against observed data. It also includes an expert-based subjective evaluation (Table 2) and a user study (Section 7) with 12 participants, reporting NASA-TLX scores and usability ratings. A detailed usage scenario (Section 6) demonstrates the system's workflow and decision-making process.</t>
  </si>
  <si>
    <t xml:space="preserve">Limitations are discussed explicitly in §8.1.2 (scalability; 30-50 agents is 'insufficient for rigorous quantitative validation'), §8.1.3 (data availability, cost, reliability/safety), §8.2.3 (agent autonomy boundary violations) and §8.4 (short-term lab study, no baseline, small domain-specific dataset, API performance constraints, persona-based prompts). Observed failure modes are also reported in §5.2: conservative behavior without knowledge and overreaction with knowledge.</t>
  </si>
  <si>
    <t xml:space="preserve">Section 8.4 explicitly discusses limitations. It acknowledges the small scale of the dataset (35 firms), the lack of long-term in-situ deployment, and the constraints of API-based LLM access for large-scale MAS. It also discusses the 'behavioral entropy' and reliability issues of LLM agents in Section 8.1.3 and 8.2.3, noting that the system is intended for exploratory sensemaking rather than deterministic prediction.</t>
  </si>
  <si>
    <t xml:space="preserve">§2 positions the work against prior research with explicit differentiation in three areas. Against MCDM/GT approaches and MARL simulation: 'heavily dependent on mathematical assumptions'. Against LLM SC agents (InvAgent, Wang et al., Jannelli et al.): 'existing studies primarily focus on qualitative insights... Our system integrates predictive models with SHAP'. Against dynamic egocentric network visualization (EgoLines, SpreadLines, etc.).</t>
  </si>
  <si>
    <t xml:space="preserve">Section 2 (Related Work) extensively reviews prior work in Supply Chain Analysis, Multi-Agent Simulation, and Dynamic Temporal Network Visualization. It explicitly contrasts SCSimulator with traditional mathematical models, reinforcement learning-based MAS, and existing LLM-agent frameworks (like Smallville, InvAgent). It highlights specific gaps in prior work, such as the lack of quantitative interpretability in LLM explanations and the homogenization of agent logic in traditional MAS, positioning SCSimulator as a solution integrating MCDM, Game Theory, and XAI (SHAP).</t>
  </si>
  <si>
    <t xml:space="preserve">Models are named only as ChatGPT-4o, Gemini-2.5-flash and Qwen3-VL-Flash, with no snapshot/date; the UI also shows 'GPT4o-mini', which is inconsistent. Prompt templates for all four stages, plus the company info template, are provided verbatim in Appendix A (Listings 1-5), so prompts are marked 'full'. Some listings appear truncated (e.g., '...' in the candidate list), but the templates are essentially complete. No temperature, top-p or seed is reported. No code repository link is given. The dataset was built from public sources (cebpubservice.cn, gsxt.gov.cn) but anonymized and expert-scored, and is not released. No query dates are reported; the data period is 2023-2024, but no model run dates are given.</t>
  </si>
  <si>
    <t xml:space="preserve">Model versions: The paper mentions 'ChatGPT-4o', 'Gemini-2.5-flash', and 'Qwen3-VL-Flash' in Table 1, but does not provide specific snapshot dates or version numbers (e.g., gpt-4o-2024-08-06). Prompts: Appendix A contains the full prompt templates for all four stages of the simulation. Decoding params: No temperature, top-p, or seed values are mentioned in the text or appendix. Code: No GitHub link or repository is provided. Data: The dataset is described as 'anonymized firms' from public sources, but no direct link to the dataset is provided. Run date: The paper is dated IUI '26 (2026), but the specific dates of the LLM API calls are not reported.</t>
  </si>
  <si>
    <t xml:space="preserve">This is a book chapter by practitioners and researchers (MIT, Microsoft Research, Microsoft). It reports how they applied LLMs to supply chain decisions and how the production deployment went (Sec. 6: 'Production Deployment - Microsoft's Cloud Supply Chain'; Sec. 7: procurement examples; Sec. 8: lessons and advice). No controlled study design or research methodology is stated. Quantitative results are reported only briefly: ~90% accuracy and ~23% saving in fulfillment investigation time. Planner quotes are given as anecdotal evidence. The paper could arguably be classed as evaluation-research, since the system runs in real operational use with real users. However, the evaluation protocol is only sketched ('In a nutshell, the methodology involves creating a set of test questions'), so experience-paper fits best (?).</t>
  </si>
  <si>
    <t xml:space="preserve">The paper is explicitly described as a 'Forthcoming chapter in AI in Supply Chains: Perspectives from Global Thought Leaders' and expands on a Harvard Business Review article. It reports on how the authors applied LLMs to address specific challenges in supply chain management, detailing the implementation at Microsoft and other industries. The focus is on the practical application, deployment, and impact (productivity gains) rather than proposing a novel theoretical framework or conducting a controlled lab experiment. Section 6 ('Production Deployment - Microsoft's Cloud Supply Chain') and Section 7 ('Procurement Examples') provide practitioner accounts of what was done and how it went, fitting the 'experience-paper' definition.</t>
  </si>
  <si>
    <t xml:space="preserve">A working system is deployed in production at Microsoft's cloud supply chain (Sec. 6, Evaluation and Deployment). Evaluation reports defined metrics: 'The current deployment uses GPT-4 and achieves around 90% accuracy', and 'estimated to have saved planners around 23% of fulfillment investigation time'. Drift analysis time fell from about a week to minutes. A test-question methodology was used, including challenging questions with incorrect grammar or atypical phrasing. Several models were compared: GPT-4 with in-context learning, and fine-tuned Llama-2 and Phi-2. Uncertainty (?): the protocol details (test-set size, scoring) are not reported, which makes this borderline with prototype. The procurement examples in Sec. 7 are anecdotal reports from other companies.</t>
  </si>
  <si>
    <t xml:space="preserve">The system is described as being 'shipped in production' (Section 6, Evaluation and Deployment). It underwent 'extensive testing in research and product teams' and achieved 'around 90% accuracy' (Section 6). The paper reports quantitative outcomes, such as saving planners 'around 23% of fulfillment investigation time' and reducing analysis time from 'a week' to 'minutes' (Section 6, User Experience and Impact). This meets the criteria for a working system with evaluation under a defined protocol and metrics in an operational setting.</t>
  </si>
  <si>
    <t xml:space="preserve">No explicit research questions are stated. The paper frames its aims around three challenges (Abstract, Sec. 1): understanding and explaining recommendations, answering what-if questions, and updating models to reflect current business environments. These are described as application directions, not formal RQs.</t>
  </si>
  <si>
    <t xml:space="preserve">The paper does not explicitly list formal Research Questions (RQs). Instead, it outlines 'three challenges' or 'directions' in the Abstract and Introduction: (i) understand and explain recommendations, (ii) analyze scenarios/what-if questions, and (iii) update mathematical models. These are presented as problems to be solved by the LLM technology rather than academic research questions.</t>
  </si>
  <si>
    <t xml:space="preserve">Boundary case ('?'). The paper does not frame its work as strategic design. Its use cases are reasoning about supply chain data and tools for 'Sales and Operations Planning (S&amp;OP), Network Strategy, Supply Chain Resiliency and Inventory Optimization' (Sec. 1). The generic example is a multi-echelon supply chain of suppliers, factories and retailers (Sec. 3-4). What-if questions such as 'Can we still fulfill all demand if we shut down factory F?' and 'where should we produce, products for the United States' (Sec. 4) touch network-level questions. SC-network-design is the closest available subdomain, but the deployed applications are tactical/operational: demand drift analysis and explaining fulfillment plans for Microsoft's cloud hardware supply chain (Sec. 6), plus procurement contract analysis (Sec. 7). Inclusion under strategic scope is questionable; flag for screening review.</t>
  </si>
  <si>
    <t xml:space="preserve">The paper focuses on 'Sales and Operations Planning (S&amp;OP)', 'Network Strategy', and 'Supply Chain Resiliency' (Section 1). It describes using LLMs to interact with optimization tools that determine supply chain plans, including network design and fulfillment (Section 6, Example 2). While it touches on procurement (Section 7), the core technical contribution is the integration of LLMs with supply chain planning/network optimization tools. It does not focus on factory layout (VDI 5200) or specific site selection as a standalone strategic design task in the traditional sense, but rather the configuration and planning of the existing network/flow. 'SC-network-design' is the best fit among the options for the general supply chain planning and network strategy context described.</t>
  </si>
  <si>
    <t xml:space="preserve">Not a factory planning study; factory-planning is not in subdomain.</t>
  </si>
  <si>
    <t xml:space="preserve">The paper is not about factory planning per VDI 5200. It is about supply chain management, S&amp;OP, and cloud infrastructure planning. VDI 5200 is specific to factory planning processes.</t>
  </si>
  <si>
    <t xml:space="preserve">Tactical: S&amp;OP plan updates (Sec. 5) and the demand plan 'for the next year or so' with a fulfillment plan assigning hardware supplier, dock-date and deployment location (Sec. 6). Operational: questions such as 'How many products of type T are being shipped today to retailer R?' (Sec. 3), 'dock a certain demand a week earlier', 'disactivate a certain warehouse for one week' (Sec. 6), and the seven-day facility outage replanning (Sec. 5). Strategic is not selected because no system-configuring decision is clearly supported (see below).</t>
  </si>
  <si>
    <t xml:space="preserve">The paper emphasizes reducing 'time to decision from days and weeks to minutes and hours' (Abstract). It focuses on 'Sales and Operations Planning (S&amp;OP)' (Section 1), which is typically tactical. It also handles real-time disruptions like a 'winter storm' causing a 7-day shutdown (Section 5), which is operational. The 'demand plan' in Section 6 is for the 'next year or so', which is tactical. The method supports adjusting existing plans rather than designing the long-term strategic network structure from scratch (though it mentions 'Network Strategy', the LLM's role is in interacting with the tools for planning/execution).</t>
  </si>
  <si>
    <t xml:space="preserve">Uncertain ('?'). The decisions the deployed method supports concern how existing resources are used: fulfillment assignments, dock dates, shipping, and replanning around disruptions ('generate a new plan that avoids using the disrupted manufacturing facility', Sec. 5). What-ifs like 'shut down factory F' (Sec. 4) are evaluative scenarios, not designs. One borderline mention: integrated recommendation modules, 'e.g., add a new transit lane between two locations' (Sec. 6). This could count as a network link creation, but it is mentioned only briefly and transit lanes are likely tactical logistics choices. The question 'where should we produce' under new tariffs (Sec. 4) is an example question only. Verifier should check.</t>
  </si>
  <si>
    <t xml:space="preserve">The LLM is used to 'understand and explain the recommendations', 'analyze various scenarios', and 'update the mathematical models... to reflect current business environments' (Abstract). It translates queries into constraints for existing optimization solvers (Section 4). It does not determine 'what exists' (e.g., building new factories, selecting new sites) but rather optimizes the use of existing resources (hardware, factories, warehouses) within the current network structure. The 'Network Strategy' mentioned is likely the domain of the underlying tool, but the LLM's specific contribution is in the planning/execution layer (tactical/operational), not the strategic configuration of the network topology itself.</t>
  </si>
  <si>
    <t xml:space="preserve">Text differs (similarity 28%)</t>
  </si>
  <si>
    <t xml:space="preserve">No statement found framing the decisions as configuring or designing the system.</t>
  </si>
  <si>
    <t xml:space="preserve">No statement found framing the LLM's decision as configuring the system structure (what exists). The focus is on 'automate key decision-making processes' (Section 1) and 'interactive planning' (Section 5) within the existing supply chain context.</t>
  </si>
  <si>
    <t xml:space="preserve">No planning-domain framework (e.g., SC Planning Matrix) is used to structure the scope. Only LLM adaptation methods (in-context learning, fine-tuning, RAG) and optimization are discussed.</t>
  </si>
  <si>
    <t xml:space="preserve">The paper does not cite VDI 5200, the SC Planning Matrix, or other specific strategic planning frameworks to structure its scope. It references general LLM concepts and supply chain management practices (S&amp;OP, optimization).</t>
  </si>
  <si>
    <t xml:space="preserve">The paper is a practitioner-oriented book chapter describing LLM applications (data insights, what-if analysis, interactive planning). Its scope is structured by use cases, not by a planning-domain reference framework.</t>
  </si>
  <si>
    <t xml:space="preserve">The paper is a technical application paper focusing on the integration of LLMs with existing supply chain optimization tools. It does not adopt a specific theoretical framework for strategic planning scope definition.</t>
  </si>
  <si>
    <t xml:space="preserve">Text differs (similarity 58%)</t>
  </si>
  <si>
    <t xml:space="preserve">GPT-4 belongs to OpenAI's GPT family, Llama-2 to Meta's Llama family, and Phi-2 to Microsoft's Phi family (Section 6, Evaluation and Deployment).</t>
  </si>
  <si>
    <t xml:space="preserve">GPT-4 belongs to the GPT family (OpenAI). Llama-2 belongs to the Llama family (Meta). Phi-2 belongs to the Phi family (Microsoft). All are explicitly named in Section 6.</t>
  </si>
  <si>
    <t xml:space="preserve">GPT-4 is proprietary. Llama-2 and Phi-2 are described as 'open-sourced models' (Section 6), so the set of evaluated models is mixed. The production deployment itself uses only the proprietary GPT-4.</t>
  </si>
  <si>
    <t xml:space="preserve">GPT-4 is a proprietary model (N). Llama-2 and Phi-2 are described as 'open-sourced models' (Y). Since the system tested and potentially uses a mix of these, 'mixed' is appropriate. Section 6 explicitly calls Llama-2 and Phi-2 'open-sourced'.</t>
  </si>
  <si>
    <t xml:space="preserve">Section 3 says 'the LLM can be utilized as a cloud service', and Section 8 says LLMs 'are typically accessed as a service'. GPT-4 in production is therefore accessed as a hosted service. Hosting of the fine-tuned Llama-2 and Phi-2 is not reported (?).</t>
  </si>
  <si>
    <t xml:space="preserve">Section 3 states: 'the LLM can be utilized as a cloud service'. Section 8 states: 'LLMs are typically accessed as a service - either directly through LLM providers or via major cloud platforms, eliminating the need for companies to invest in costly GPU hardware.' This indicates an API-based deployment for the LLM component itself, even if the data stays local.</t>
  </si>
  <si>
    <t xml:space="preserve">Inputs are plain-language questions, in-context question–code examples, demand plan data and application outputs, all handled as text (Sections 3–6). The procurement examples involve Excel, Word and PDF documents, but these are processed as text/data, and no image input is described.</t>
  </si>
  <si>
    <t xml:space="preserve">The paper describes interactions via 'plain language questions', 'text', 'code', and 'SQL'. There is no mention of image, audio, or other non-text modalities being input to the LLM. Section 2 mentions 'structured (numeric) and unstructured (text, image) data' in a general context of LLMs, but the specific supply chain method described relies on text queries and code generation.</t>
  </si>
  <si>
    <t xml:space="preserve">Section 4 states: 'generate a large repository of questions and code answers. Some of these question-answer pairs are then appended to the user query and are used as examples as part of the in-context learning approach.' Figure 1 also shows 'In-Context Learning' for both the question handler and interpreter steps.</t>
  </si>
  <si>
    <t xml:space="preserve">Section 4 states: 'Some of these question-answer pairs are then appended to the user query and are used as examples as part of the in-context learning approach'. This is explicitly few-shot/in-context learning. Section 2 also defines in-context learning as incorporating training examples into the prompt.</t>
  </si>
  <si>
    <t xml:space="preserve">Figure 1 shows a developer-defined flow: question handler → LLM (code generation) → supply chain tool → interpreter → LLM (answer generation). The LLM does not autonomously choose actions; its position in the flow is fixed.</t>
  </si>
  <si>
    <t xml:space="preserve">The system follows a fixed, developer-defined sequence: User Question -&gt; Question Handler (appends examples) -&gt; LLM (generates code/query) -&gt; External Tool (Solver/DB) -&gt; Interpreter (LLM translates output) -&gt; User. This is a fixed pipeline of specialized roles (LLM as translator, Tool as executor, LLM as interpreter). It is not an autonomous agent deciding next steps dynamically (ReAct), nor a supervisor delegating to peer agents. It is a structured workflow.</t>
  </si>
  <si>
    <t xml:space="preserve">Two sequential LLM calls are made: the first produces application code, and the second interprets the tool output into a natural-language answer. Each processes the output of the previous step (via tool execution). No routing, parallelization or evaluator loop is described.</t>
  </si>
  <si>
    <t xml:space="preserve">The process involves a fixed sequence of LLM calls and tool executions. The LLM generates code, the tool executes it, and the LLM interprets the result. This fits 'prompt-chaining' (fixed sequence of LLM calls, each processing the previous output or context) more than routing or parallelization. The 'Question Handler' and 'Interpreter' are distinct steps in a chain.</t>
  </si>
  <si>
    <t xml:space="preserve">No conversation history or persistent memory is described; the question–code example repository is used for in-context prompting, not as agent memory. No self-critique or reflection is described, and Section 8 lists verification as an open challenge. Tool calls are fixed by the pipeline: the generated code is always fed to the supply chain tool or data repository, so the LLM does not decide at run time whether to call tools.</t>
  </si>
  <si>
    <t xml:space="preserve">The LLM does not autonomously decide to call tools at runtime in an agentic loop (ReAct style); rather, the architecture is a fixed pipeline where the LLM's output (code) is deterministically passed to a tool. There is no mention of persistent memory across sessions or explicit self-critique/reflection loops. The 'tool use' is developer-fixed integration, not autonomous agent tool selection.</t>
  </si>
  <si>
    <t xml:space="preserve">Section 4 describes the method itself: the LLM translates what-if questions into 'mathematical code' that modifies the original mathematical model, for example by adding a constraint. The modified model is then fed to the supply chain tool (optimization solver), which produces a modified plan. Section 6, Example 2, deploys this with Microsoft's fulfillment optimization tools. The optimization is therefore part of the proposed pipeline, not just background. Caveat: this is a practitioner chapter, so the technical details of the optimization are sparse.</t>
  </si>
  <si>
    <t xml:space="preserve">The paper explicitly describes a system where LLMs interact with 'supply chain planning tools' that use 'mathematical models, typically optimization methods' to generate recommendations (Section 4). It details how the LLM translates user queries into 'mathematical code' (constraints/changes to the model) which is then fed to the 'supply chain tool' (an optimization solver) to produce a modified plan (Section 4, Figure 1). Section 6 confirms Microsoft uses 'sophisticated optimization solvers' for fulfillment planning. The method's core value proposition is orchestrating these existing optimization tools via LLMs.</t>
  </si>
  <si>
    <t xml:space="preserve">'?' The paper never names the program type explicitly; it says only 'mathematical programs' with constraints and cost minimization. The assignment and shipping decisions with constraints (Section 6, Example 2) suggest a MILP, consistent with the OptiGuide work cited in [1] and [2]. This is an inference, not an explicit statement.</t>
  </si>
  <si>
    <t xml:space="preserve">Section 4 states: 'supply chain planning tools use mathematical models, typically optimization methods... many optimization tasks are written in the form of mathematical programs'. Section 6 mentions 'sophisticated optimization solvers' for hardware deployment (assigning/shipping servers), which is a classic combinatorial optimization problem typically modeled as MILP/LP. The LLM generates 'mathematical code' (constraints) to modify these models. No evidence of RL, metaheuristics, or simulation-optimization as the primary paradigm for the core decision-making tools described.</t>
  </si>
  <si>
    <t xml:space="preserve">No specific solver is named. The paper refers only to 'optimization solvers' and 'supply chain tool (e.g., optimization solver)' in Sections 4 and 6.</t>
  </si>
  <si>
    <t xml:space="preserve">The paper refers to 'optimization solvers' (Section 6) and 'supply chain planning tools' (Section 4) but does not name a specific commercial or open-source solver (e.g., Gurobi, CPLEX, COPT). It mentions 'sophisticated optimization solvers' in the context of Microsoft's internal tools but does not specify the brand or type (e.g., 'Gurobi'). Therefore, NR (Not Reported) is the correct value.</t>
  </si>
  <si>
    <t xml:space="preserve">Section 6 'Evaluation and Deployment' describes a general evaluation methodology that creates a set of test questions for each example, some deliberately challenging (incorrect grammar, atypical questions). This supports 'test-set'. The system is deployed in production at Microsoft's cloud supply chain. The paper reports outcomes from operational use: about 90% accuracy, about 23% of fulfillment investigation time saved, and drift analysis reduced from about a week to minutes. This supports 'field-deployment'. The procurement examples in Section 7 (chemical manufacturer, automotive OEM) are anecdotal third-party reports rather than evaluations of the authors' own method, so they are not coded as multi-case. No structured user study is described; the planner quotes are anecdotal.</t>
  </si>
  <si>
    <t xml:space="preserve">The paper describes a 'general evaluation methodology' involving 'creating a set of test questions' (Section 6, Evaluation and Deployment), which fits the 'test-set' definition. It also reports on the system being 'shipped in production' and used by planners at Microsoft, with observed outcomes like time savings (Section 6, User Experience and Impact), which fits 'field-deployment'.</t>
  </si>
  <si>
    <t xml:space="preserve">Artificial: test questions, including synthetic examples from other domains such as a manufacturing scenario with raw-material suppliers, factories and retailers (Sec. 6, Evaluation and Deployment). Naturalistic: production deployment with real Microsoft planners, showing time savings and productivity impact (Sec. 6, User Experience and Impact).</t>
  </si>
  <si>
    <t xml:space="preserve">The evaluation includes artificial components (synthetic examples, test questions with incorrect grammar, Section 6) and naturalistic components (real users/planners at Microsoft using the system in production for demand drift and fulfillment analysis, Section 6).</t>
  </si>
  <si>
    <t xml:space="preserve">Sec. 6 compares against the manual pre-LLM process: drift analysis previously took planners about a week versus minutes now, and fulfillment questions previously took days via engineers versus minutes now. Testing different LLMs (GPT-4 in-context learning vs. fine-tuned Llama-2 and Phi-2) is a backbone swap and is not counted as a comparator.</t>
  </si>
  <si>
    <t xml:space="preserve">The paper explicitly compares the LLM-based system's performance against the previous manual process where planners 'involve program managers, data scientists and engineers' and 'manually' analyzed data, taking 'several days' or 'about a week' (Section 6, Example 1 and User Experience and Impact). This is a comparison against the human/manual baseline.</t>
  </si>
  <si>
    <t xml:space="preserve">Testing was done by Microsoft research and product teams, the authors' own organization (Sec. 6). No external evaluators are mentioned.</t>
  </si>
  <si>
    <t xml:space="preserve">The evaluation was conducted by the authors' team ('research and product teams') and the users are internal Microsoft planners. There is no mention of third-party external evaluators or blind testing by independent experts. The planners are 'partner employees' in the context of the authors' project (Microsoft Research/Microsoft).</t>
  </si>
  <si>
    <t xml:space="preserve">Text differs (similarity 46%)</t>
  </si>
  <si>
    <t xml:space="preserve">No number of test questions or number of users is reported.</t>
  </si>
  <si>
    <t xml:space="preserve">The paper states that a 'set of test questions' was created but does not specify the number of questions, users, or records involved in the evaluation.</t>
  </si>
  <si>
    <t xml:space="preserve">Text differs (similarity 52%)</t>
  </si>
  <si>
    <t xml:space="preserve">Text differs (similarity 32%)</t>
  </si>
  <si>
    <t xml:space="preserve">Planners interact with LLM outputs inside the workflow, not only at the start and end. In the demand drift analysis (Sec. 6, Example 1), "The email also points out potential errors that planners can review and adjust." In interactive planning (Sec. 5), the LLM "may generate an alarm that the lead time from the supplier has increased", and then "the planner may ask the LLM-based technology to re-run the planning tool with the new lead time information." Planners also explore what-if scenarios through repeated queries (Sec. 4, Sec. 6 Example 2). Uncertainty: much of the interaction is plain query and answer, which on its own would not count.</t>
  </si>
  <si>
    <t xml:space="preserve">The system explicitly describes a workflow where the LLM generates code or plans, but the human planner reviews, approves, or adjusts the results. Section 6 (Example 1) states: 'The email also points out potential errors that planners can review and adjust.' Section 6 (Example 2) notes planners 'confirm that it meets business needs'. Section 5 describes interactive planning where the planner 'may ask the LLM-based technology to re-run the planning tool'. This fits the 'approval-gate' and 'what-if-interface' patterns.</t>
  </si>
  <si>
    <t xml:space="preserve">Sec. 4: "A key idea behind our design is not to replace the mathematical model with LLMs but rather use the mathematical model in tandem with LLMs." The supply chain structure and business requirements are encoded in mathematical programs that the LLM modifies through code. Sec. 3: questions are translated into queries against "the company's data repository (e.g., a SQL database)". The question-code example repository used for in-context learning is few-shot material and is not counted.</t>
  </si>
  <si>
    <t xml:space="preserve">The system relies on existing supply chain planning tools which use 'mathematical models, typically optimization methods' (Section 4). It also uses a 'large repository of questions and code answers' for in-context learning (Section 4). The data is stored in a 'SQL database' or 'data repository' (Section 3). These are explicit, machine-readable structures.</t>
  </si>
  <si>
    <t xml:space="preserve">Sec. 6, Evaluation and Deployment: "A general evaluation methodology has been developed... the methodology involves creating a set of test questions for each example. Some of the questions are challenging, for example include incorrect grammar, or atypical questions." Multiple models were compared (GPT-4 with in-context learning; fine-tuned Llama-2 and Phi-2), and the deployment "achieves around 90% accuracy." Uncertainty (?): the protocol is described only briefly and the scoring procedure is not detailed.</t>
  </si>
  <si>
    <t xml:space="preserve">Section 6 ('Evaluation and Deployment') states: 'A general evaluation methodology has been developed to test the effectiveness of the LLM technology. In a nutshell, the methodology involves creating a set of test questions for each example.' It also mentions testing 'Multiple language models and training approaches' and achieving 'around 90% accuracy'. This constitutes a defined test set and metric.</t>
  </si>
  <si>
    <t xml:space="preserve">Information-acquisition: the LLM translates questions into database queries (Sec. 3) and ingests demand plans from different periods (Sec. 6). Information-analysis: drift root-cause identification ("The LLM automatically identifies the reason"), what-if impact analysis, and lead-time alarms and predictions (Sec. 5). Decision-selection: "insight and recommendation modules... (e.g., add a new transit lane between two locations). The insights and recommendations are generated by the LLM-based technology" (Sec. 6). The system can also generate new plans that avoid disrupted facilities through the optimization tool (Sec. 5). Action-implementation is not reported, since plans are not stated to be written into execution systems automatically.</t>
  </si>
  <si>
    <t xml:space="preserve">Information-acquisition: The LLM translates natural language questions into SQL queries to fetch data from repositories (Section 3). Information-analysis: The LLM analyzes data to provide insights, explain decisions, and identify root causes of demand drift (Section 3, 6). Decision-selection: The LLM generates code to modify optimization models for what-if scenarios, effectively selecting a new plan/alternative for the human to review (Section 4, 5). It does not fully automate action-implementation as humans still confirm/execute the final plan.</t>
  </si>
  <si>
    <t xml:space="preserve">The system provides answers, alternative plans and recommendations (e.g., adding a transit lane, a new plan avoiding a disrupted facility), and planners decide. Planners "confirm that it meets business needs and ensure the execution" (Sec. 6). No autonomous implementation is described.</t>
  </si>
  <si>
    <t xml:space="preserve">The system generates recommendations (plans, answers, insights) that the human planner must review, confirm, or adjust before they are acted upon. Section 6 states planners 'confirm that it meets business needs' and 'review and adjust' reports. Section 5 notes the planner 'may ask... to re-run' and the system 'reports back'. The system does not autonomously implement changes without human approval (Level 3 or 4).</t>
  </si>
  <si>
    <t xml:space="preserve">Section 4 / Figure 1 gives a high-level data flow: user question goes to a question handler, which feeds in-context learning to the LLM. The LLM emits application code, which goes to the supply chain tool, then to an interpreter, then back to the LLM, which returns an answer. The paper states 'The basic idea is to generate a large repository of questions and code answers... see [1] for more details.' The paper does not give enough detail to replicate the system: prompt structure, example selection, code format, solver interface and the evaluation question set are all missing, and implementation details are deferred to [1]. This is a book chapter describing a framework and deployment experience.</t>
  </si>
  <si>
    <t xml:space="preserve">The paper describes the high-level architecture (LLM translates query to code, code invokes optimization tool, output translated back) and mentions specific techniques like in-context learning and fine-tuning (Section 2, 4). However, it lacks specific implementation details such as the exact prompt structures, the specific API calls, or the code generation logic required for independent replication. It references [1] for more details on in-context learning, but the core method is described conceptually rather than procedurally.</t>
  </si>
  <si>
    <t xml:space="preserve">The study is a deployed industrial system (Microsoft cloud supply chain, Section 6). Reported results: 'The current deployment uses GPT-4 and achieves around 90% accuracy' and the system is 'estimated to have saved planners around 23% of fulfillment investigation time'. The authors also claim drift analysis now takes minutes instead of about a week. The paper does not report test set size, metric definition, variance or comparator numbers, though it mentions that Llama-2 and Phi-2 fine-tuning were tested. Procurement examples (Section 7) are anecdotal. Use cases are demonstrated, but quantitative context is missing.</t>
  </si>
  <si>
    <t xml:space="preserve">The paper provides concrete case studies from Microsoft's cloud supply chain (Section 6) and procurement (Section 7). It reports specific outcomes like '90% accuracy' and '23% of fulfillment investigation time' saved. However, it does not provide detailed statistical analysis, variance, or a rigorous comparative baseline against non-LLM methods beyond anecdotal time savings. The evaluation methodology is described generally ('creating a set of test questions') without disclosing the specific test set or metrics calculation.</t>
  </si>
  <si>
    <t xml:space="preserve">Text differs (similarity 40%)</t>
  </si>
  <si>
    <t xml:space="preserve">Section 8 explicitly discusses several challenges: ambiguous questions ('Learning to ask questions'), 'Verifying correctness' ('we expect LLMs to occasionally produce wrong outputs'), data availability and privacy trade-offs, and cost/performance trade-offs (fine-tuning, RAG, SLMs). Section 5 notes the technology 'is not capable today of reliably modeling a more complex, industrial, environment.' Section 6 notes a gradual deployment that covers only the most common what-if questions.</t>
  </si>
  <si>
    <t xml:space="preserve">Section 8 ('Discussion') explicitly addresses challenges and limitations. It discusses 'Learning to ask questions' (ambiguity), 'Verifying correctness' (hallucination/code errors), 'Data availability' (quality/privacy), and 'Understanding cost and performance tradeoffs'. It also notes in Section 5 that the technology is 'not capable today of reliably modeling a more complex, industrial, environment' for end-to-end decision making.</t>
  </si>
  <si>
    <t xml:space="preserve">Match score</t>
  </si>
  <si>
    <t xml:space="preserve">Fields differing</t>
  </si>
  <si>
    <t xml:space="preserve">R1 #</t>
  </si>
  <si>
    <t xml:space="preserve">R1 metric</t>
  </si>
  <si>
    <t xml:space="preserve">R1 unit</t>
  </si>
  <si>
    <t xml:space="preserve">R1 context</t>
  </si>
  <si>
    <t xml:space="preserve">R1 page_section_reference</t>
  </si>
  <si>
    <t xml:space="preserve">R2 #</t>
  </si>
  <si>
    <t xml:space="preserve">R2 metric</t>
  </si>
  <si>
    <t xml:space="preserve">R2 unit</t>
  </si>
  <si>
    <t xml:space="preserve">R2 context</t>
  </si>
  <si>
    <t xml:space="preserve">R2 page_section_reference</t>
  </si>
  <si>
    <t xml:space="preserve">Decision</t>
  </si>
  <si>
    <t xml:space="preserve">Note</t>
  </si>
  <si>
    <t xml:space="preserve">Only R1</t>
  </si>
  <si>
    <t xml:space="preserve">Model generation code correctness</t>
  </si>
  <si>
    <t xml:space="preserve">80 (Case A), 64 (Case B)</t>
  </si>
  <si>
    <t xml:space="preserve">%</t>
  </si>
  <si>
    <t xml:space="preserve">Share of correct LLM model generation across experiment runs</t>
  </si>
  <si>
    <t xml:space="preserve">Fig. 18, Sec. 5.5</t>
  </si>
  <si>
    <t xml:space="preserve">2</t>
  </si>
  <si>
    <t xml:space="preserve">Model adaptation correctness</t>
  </si>
  <si>
    <t xml:space="preserve">92 (Case A), 97 (Case B)</t>
  </si>
  <si>
    <t xml:space="preserve">Correctness of LLM-driven model adaptations</t>
  </si>
  <si>
    <t xml:space="preserve">Model evaluation interpretation accuracy</t>
  </si>
  <si>
    <t xml:space="preserve">100 (Case A), 100 (Case B)</t>
  </si>
  <si>
    <t xml:space="preserve">Correctness of evaluator-agent interpretation</t>
  </si>
  <si>
    <t xml:space="preserve">First-pass model generation runs</t>
  </si>
  <si>
    <t xml:space="preserve">8 of 10 (Case A); 7 of 11 (Case B)</t>
  </si>
  <si>
    <t xml:space="preserve">count</t>
  </si>
  <si>
    <t xml:space="preserve">Case A: one run failed (scheduling error) and one needed manual correction (structural). Case B: four runs needed manual correction</t>
  </si>
  <si>
    <t xml:space="preserve">Sec. 5.3.4, 5.4.4, Tables 5 and 7</t>
  </si>
  <si>
    <t xml:space="preserve">5</t>
  </si>
  <si>
    <t xml:space="preserve">Failed / manually corrected runs overall</t>
  </si>
  <si>
    <t xml:space="preserve">1 crashed, 5 manual corrections out of 21</t>
  </si>
  <si>
    <t xml:space="preserve">Errors in the model generation phase across all experiments</t>
  </si>
  <si>
    <t xml:space="preserve">Sec. 5.5</t>
  </si>
  <si>
    <t xml:space="preserve">6</t>
  </si>
  <si>
    <t xml:space="preserve">Adaptation timeouts</t>
  </si>
  <si>
    <t xml:space="preserve">Case A Experiment #2: second adaptation exceeded the 300 s timeout</t>
  </si>
  <si>
    <t xml:space="preserve">Sec. 5.3.4, Table 5</t>
  </si>
  <si>
    <t xml:space="preserve">Matched – differs</t>
  </si>
  <si>
    <t xml:space="preserve">0.48</t>
  </si>
  <si>
    <t xml:space="preserve">metric, value, context, page_section_reference</t>
  </si>
  <si>
    <t xml:space="preserve">7</t>
  </si>
  <si>
    <t xml:space="preserve">Token usage per experiment</t>
  </si>
  <si>
    <t xml:space="preserve">~24,500 (Case A, 8 API requests); ~33,800 (Case B, 10 API requests)</t>
  </si>
  <si>
    <t xml:space="preserve">tokens</t>
  </si>
  <si>
    <t xml:space="preserve">Average per successful experiment</t>
  </si>
  <si>
    <t xml:space="preserve">Table 5, Table 7 captions</t>
  </si>
  <si>
    <t xml:space="preserve">Token Usage (Case B)</t>
  </si>
  <si>
    <t xml:space="preserve">33,800</t>
  </si>
  <si>
    <t xml:space="preserve">Average tokens per successful experiment run for Case B.</t>
  </si>
  <si>
    <t xml:space="preserve">Table 7 caption</t>
  </si>
  <si>
    <t xml:space="preserve">0.46</t>
  </si>
  <si>
    <t xml:space="preserve">8</t>
  </si>
  <si>
    <t xml:space="preserve">API cost per experiment</t>
  </si>
  <si>
    <t xml:space="preserve">0.13 (Case A); 0.16 (Case B)</t>
  </si>
  <si>
    <t xml:space="preserve">USD</t>
  </si>
  <si>
    <t xml:space="preserve">API Cost (Case B)</t>
  </si>
  <si>
    <t xml:space="preserve">$0.16</t>
  </si>
  <si>
    <t xml:space="preserve">Average cost per successful experiment run for Case B.</t>
  </si>
  <si>
    <t xml:space="preserve">0.49</t>
  </si>
  <si>
    <t xml:space="preserve">Execution time per experiment</t>
  </si>
  <si>
    <t xml:space="preserve">1190 (Case A, last three successful runs); 625 (Case B, successful runs excluding manual corrections)</t>
  </si>
  <si>
    <t xml:space="preserve">seconds</t>
  </si>
  <si>
    <t xml:space="preserve">Average end-to-end workflow execution time</t>
  </si>
  <si>
    <t xml:space="preserve">Execution Time (Case A)</t>
  </si>
  <si>
    <t xml:space="preserve">1190 s</t>
  </si>
  <si>
    <t xml:space="preserve">Average execution time of the last three successful experiments for Case A.</t>
  </si>
  <si>
    <t xml:space="preserve">Table 5 caption</t>
  </si>
  <si>
    <t xml:space="preserve">0.45</t>
  </si>
  <si>
    <t xml:space="preserve">Validation deviation vs FACTS Analyzer (Case A)</t>
  </si>
  <si>
    <t xml:space="preserve">TH ~-4; SEC ~2; WIP ~4 (range ~1 to 7)</t>
  </si>
  <si>
    <t xml:space="preserve">Relative deviation of LLM-generated SimPy models from manually built FACTS Analyzer models, first experiment</t>
  </si>
  <si>
    <t xml:space="preserve">Sec. 5.6, Table 8</t>
  </si>
  <si>
    <t xml:space="preserve">Work-in-process (WIP) deviation (Case A)</t>
  </si>
  <si>
    <t xml:space="preserve">4% (avg), range 1-7%</t>
  </si>
  <si>
    <t xml:space="preserve">Relative deviation between LLM-generated Python model and FACTS Analyzer model for Case A.</t>
  </si>
  <si>
    <t xml:space="preserve">Section 5.6</t>
  </si>
  <si>
    <t xml:space="preserve">11</t>
  </si>
  <si>
    <t xml:space="preserve">Validation deviation vs FACTS Analyzer (Case B)</t>
  </si>
  <si>
    <t xml:space="preserve">TH ~0.8; SEC ~0.3; WIP ~-0.4</t>
  </si>
  <si>
    <t xml:space="preserve">Relative deviation, first experiment; acceptance threshold 5-10%</t>
  </si>
  <si>
    <t xml:space="preserve">Sec. 5.6, Table 9</t>
  </si>
  <si>
    <t xml:space="preserve">Current-state KPIs Case A</t>
  </si>
  <si>
    <t xml:space="preserve">TH 7.38 parts/h; WIP 4.47 parts; SEC 14.2158 kWh/part</t>
  </si>
  <si>
    <t xml:space="preserve">Mean over 25 replications, Experiment #1</t>
  </si>
  <si>
    <t xml:space="preserve">Fig. 6, Sec. 5.3.2</t>
  </si>
  <si>
    <t xml:space="preserve">Current-state KPIs Case B</t>
  </si>
  <si>
    <t xml:space="preserve">TH 27.26 parts/h; WIP 18.22 parts; SEC 0.4510 kWh/part</t>
  </si>
  <si>
    <t xml:space="preserve">Mean over 10 replications, Experiment #7</t>
  </si>
  <si>
    <t xml:space="preserve">Fig. 13, Sec. 5.4.2</t>
  </si>
  <si>
    <t xml:space="preserve">14</t>
  </si>
  <si>
    <t xml:space="preserve">Best adapted scenario improvement Case A</t>
  </si>
  <si>
    <t xml:space="preserve">V2: TH +4.5, SEC -1.8</t>
  </si>
  <si>
    <t xml:space="preserve">Change relative to current state for the version selected by the evaluator-agent</t>
  </si>
  <si>
    <t xml:space="preserve">Fig. 9, Sec. 5.3.3</t>
  </si>
  <si>
    <t xml:space="preserve">Best adapted scenario improvement Case B</t>
  </si>
  <si>
    <t xml:space="preserve">V4: TH +49.9, WIP +23.3, SEC -16.3; V2: TH +9.8, WIP 0.0</t>
  </si>
  <si>
    <t xml:space="preserve">V4 is the human-added third parallel press. V2 is the compromise option</t>
  </si>
  <si>
    <t xml:space="preserve">Fig. 16, Sec. 5.4.3</t>
  </si>
  <si>
    <t xml:space="preserve">Only R2</t>
  </si>
  <si>
    <t xml:space="preserve">Throughput (TH) deviation (Case A)</t>
  </si>
  <si>
    <t xml:space="preserve">-4%</t>
  </si>
  <si>
    <t xml:space="preserve">Specific Energy Consumption (SEC) deviation (Case A)</t>
  </si>
  <si>
    <t xml:space="preserve">2%</t>
  </si>
  <si>
    <t xml:space="preserve">Throughput (TH) deviation (Case B)</t>
  </si>
  <si>
    <t xml:space="preserve">0.8%</t>
  </si>
  <si>
    <t xml:space="preserve">Relative deviation between LLM-generated Python model and FACTS Analyzer model for Case B.</t>
  </si>
  <si>
    <t xml:space="preserve">Specific Energy Consumption (SEC) deviation (Case B)</t>
  </si>
  <si>
    <t xml:space="preserve">0.3%</t>
  </si>
  <si>
    <t xml:space="preserve">Work-in-process (WIP) deviation (Case B)</t>
  </si>
  <si>
    <t xml:space="preserve">-0.4%</t>
  </si>
  <si>
    <t xml:space="preserve">API Cost (Case A)</t>
  </si>
  <si>
    <t xml:space="preserve">$0.13</t>
  </si>
  <si>
    <t xml:space="preserve">Average cost per successful experiment run for Case A.</t>
  </si>
  <si>
    <t xml:space="preserve">Execution Time (Case B)</t>
  </si>
  <si>
    <t xml:space="preserve">625 s</t>
  </si>
  <si>
    <t xml:space="preserve">Average execution time of successful experiments for Case B.</t>
  </si>
  <si>
    <t xml:space="preserve">Token Usage (Case A)</t>
  </si>
  <si>
    <t xml:space="preserve">24,500</t>
  </si>
  <si>
    <t xml:space="preserve">Average tokens per successful experiment run for Case A.</t>
  </si>
  <si>
    <t xml:space="preserve">0.88</t>
  </si>
  <si>
    <t xml:space="preserve">metric, context, page_section_reference</t>
  </si>
  <si>
    <t xml:space="preserve">Number of equipment prompts analyzed</t>
  </si>
  <si>
    <t xml:space="preserve">47</t>
  </si>
  <si>
    <t xml:space="preserve">Total equipment prompts evaluated across three use-cases</t>
  </si>
  <si>
    <t xml:space="preserve">Section 3; Abstract</t>
  </si>
  <si>
    <t xml:space="preserve">Total equipment prompts analyzed</t>
  </si>
  <si>
    <t xml:space="preserve">Total number of prompts used in the evaluation with the industrial partner.</t>
  </si>
  <si>
    <t xml:space="preserve">Section 3, Abstract</t>
  </si>
  <si>
    <t xml:space="preserve">0.9</t>
  </si>
  <si>
    <t xml:space="preserve">metric, unit, context</t>
  </si>
  <si>
    <t xml:space="preserve">Correct equipment type but wrong subtype</t>
  </si>
  <si>
    <t xml:space="preserve">count (of 47)</t>
  </si>
  <si>
    <t xml:space="preserve">Correct equipment type (e.g., feeder system) chosen but appropriate subtype (e.g., vibratory bowl feeder) not identified</t>
  </si>
  <si>
    <t xml:space="preserve">Section 3</t>
  </si>
  <si>
    <t xml:space="preserve">Prompts with correct equipment type but wrong subtype</t>
  </si>
  <si>
    <t xml:space="preserve">Cases where the system selected the correct category (e.g., feeder) but not the specific subtype (e.g., vibratory bowl).</t>
  </si>
  <si>
    <t xml:space="preserve">0.64</t>
  </si>
  <si>
    <t xml:space="preserve">metric, unit, context, page_section_reference</t>
  </si>
  <si>
    <t xml:space="preserve">Sufficient component (correct subtype, most requirements considered)</t>
  </si>
  <si>
    <t xml:space="preserve">24</t>
  </si>
  <si>
    <t xml:space="preserve">Correct equipment subtype (e.g., SCARA robot) selected and most specific requirements (e.g., arm length) considered</t>
  </si>
  <si>
    <t xml:space="preserve">Prompts with sufficient component selection</t>
  </si>
  <si>
    <t xml:space="preserve">Cases where the correct equipment subtype was chosen and most specific requirements were considered.</t>
  </si>
  <si>
    <t xml:space="preserve">0.73</t>
  </si>
  <si>
    <t xml:space="preserve">Fully suitable component (all requirements met)</t>
  </si>
  <si>
    <t xml:space="preserve">Selected component met all relevant requirements</t>
  </si>
  <si>
    <t xml:space="preserve">Prompts with fully suitable component selection</t>
  </si>
  <si>
    <t xml:space="preserve">Cases where the selected component met all relevant requirements.</t>
  </si>
  <si>
    <t xml:space="preserve">Q&amp;A accuracy (GPT-4)</t>
  </si>
  <si>
    <t xml:space="preserve">~81% circumstances, ~79% spatial relationship, ~77% coordinates change, ~82% absolute/relative position</t>
  </si>
  <si>
    <t xml:space="preserve">Approximate values read from bar chart; spatial-reasoning Q&amp;A test set</t>
  </si>
  <si>
    <t xml:space="preserve">Sec. 4.1, Fig. 11</t>
  </si>
  <si>
    <t xml:space="preserve">Q&amp;A accuracy (GPT-3.5)</t>
  </si>
  <si>
    <t xml:space="preserve">~69% circumstances, ~76% spatial relationship, ~74% coordinates change, ~79% absolute/relative position</t>
  </si>
  <si>
    <t xml:space="preserve">Approximate values from chart</t>
  </si>
  <si>
    <t xml:space="preserve">Q&amp;A accuracy (Mixtral 8x7B)</t>
  </si>
  <si>
    <t xml:space="preserve">~76% circumstances, ~77% spatial relationship, ~73% coordinates change, ~80% absolute/relative position</t>
  </si>
  <si>
    <t xml:space="preserve">Q&amp;A accuracy (ChatGLM3-6B)</t>
  </si>
  <si>
    <t xml:space="preserve">~64% circumstances, ~71% spatial relationship, ~66% coordinates change, ~76% absolute/relative position</t>
  </si>
  <si>
    <t xml:space="preserve">0.78</t>
  </si>
  <si>
    <t xml:space="preserve">value, context, page_section_reference</t>
  </si>
  <si>
    <t xml:space="preserve">Space utilization</t>
  </si>
  <si>
    <t xml:space="preserve">CoT: 0.341 (8), 0.261 (10), 0.205 (15); Proposed: 0.682 (8), 0.602 (10), 0.625 (15)</t>
  </si>
  <si>
    <t xml:space="preserve">By number of layout elements; Mixtral 8x7B</t>
  </si>
  <si>
    <t xml:space="preserve">Sec. 4.2, Table 2</t>
  </si>
  <si>
    <t xml:space="preserve">0.602 (proposed, Q=10), 0.261 (COT, Q=10)</t>
  </si>
  <si>
    <t xml:space="preserve">Comparison of proposed method vs COT baseline for 10 equipment elements in a U-shaped layout scenario.</t>
  </si>
  <si>
    <t xml:space="preserve">Table 2, §4.2</t>
  </si>
  <si>
    <t xml:space="preserve">0.79</t>
  </si>
  <si>
    <t xml:space="preserve">Compliance</t>
  </si>
  <si>
    <t xml:space="preserve">CoT: 0.850 (8), 0.848 (10), 0.812 (15); Proposed: 0.852 (8), 0.849 (10), 0.845 (15)</t>
  </si>
  <si>
    <t xml:space="preserve">Format compliance/completeness by element count</t>
  </si>
  <si>
    <t xml:space="preserve">0.849 (proposed, Q=10), 0.848 (COT, Q=10)</t>
  </si>
  <si>
    <t xml:space="preserve">Comparison of proposed method vs COT baseline for 10 equipment elements.</t>
  </si>
  <si>
    <t xml:space="preserve">Layout requirement accuracy I-shape</t>
  </si>
  <si>
    <t xml:space="preserve">CoT: 0.602/0.534/0.455; Proposed: 0.807/0.739/0.659</t>
  </si>
  <si>
    <t xml:space="preserve">For 8/10/15 elements</t>
  </si>
  <si>
    <t xml:space="preserve">Layout requirement accuracy L-shape</t>
  </si>
  <si>
    <t xml:space="preserve">CoT: 0.432/0.364/0.284; Proposed: 0.659/0.591/0.511</t>
  </si>
  <si>
    <t xml:space="preserve">0.71</t>
  </si>
  <si>
    <t xml:space="preserve">Layout requirement accuracy U-shape</t>
  </si>
  <si>
    <t xml:space="preserve">CoT: 0.398/0.295/0.261; Proposed: 0.625/0.523/0.489</t>
  </si>
  <si>
    <t xml:space="preserve">Layout requirements - U-shape</t>
  </si>
  <si>
    <t xml:space="preserve">0.523 (proposed, Q=10), 0.295 (COT, Q=10)</t>
  </si>
  <si>
    <t xml:space="preserve">Accuracy of generating U-shaped layout for 10 elements.</t>
  </si>
  <si>
    <t xml:space="preserve">0.54</t>
  </si>
  <si>
    <t xml:space="preserve">Comprehensive constraints satisfaction</t>
  </si>
  <si>
    <t xml:space="preserve">CoT: 0.591/0.523/0.409; Proposed: 0.773/0.727/0.659</t>
  </si>
  <si>
    <t xml:space="preserve">Constraints - CC (Comprehensive Constraints)</t>
  </si>
  <si>
    <t xml:space="preserve">0.727 (proposed, Q=10), 0.523 (COT, Q=10)</t>
  </si>
  <si>
    <t xml:space="preserve">Satisfaction of comprehensive constraints for 10 elements.</t>
  </si>
  <si>
    <t xml:space="preserve">Relationship constraints satisfaction</t>
  </si>
  <si>
    <t xml:space="preserve">CoT: 0.511/0.432/0.330; Proposed: 0.750/0.682/0.606</t>
  </si>
  <si>
    <t xml:space="preserve">Constraints - RC (Relational Constraints)</t>
  </si>
  <si>
    <t xml:space="preserve">0.682 (proposed, Q=10), 0.432 (COT, Q=10)</t>
  </si>
  <si>
    <t xml:space="preserve">Satisfaction of relational constraints for 10 elements.</t>
  </si>
  <si>
    <t xml:space="preserve">Ablation - full method</t>
  </si>
  <si>
    <t xml:space="preserve">Layout requirements 0.523, space utilization 0.602, constraints 0.693</t>
  </si>
  <si>
    <t xml:space="preserve">10 devices, 2-5 constraints each, U-shape, 6 iterations</t>
  </si>
  <si>
    <t xml:space="preserve">Sec. 4.2, Table 3</t>
  </si>
  <si>
    <t xml:space="preserve">Ablation - without constraint representation</t>
  </si>
  <si>
    <t xml:space="preserve">Layout requirements -, space utilization 0.413, constraints 0.013</t>
  </si>
  <si>
    <t xml:space="preserve">QD + MI only</t>
  </si>
  <si>
    <t xml:space="preserve">Ablation - without question decomposition</t>
  </si>
  <si>
    <t xml:space="preserve">Layout requirements -, space utilization 0.259, constraints 0.318</t>
  </si>
  <si>
    <t xml:space="preserve">CR + MI only</t>
  </si>
  <si>
    <t xml:space="preserve">Ablation - without multi-step iteration</t>
  </si>
  <si>
    <t xml:space="preserve">Layout requirements 0.236, space utilization 0.527, constraints 0.501</t>
  </si>
  <si>
    <t xml:space="preserve">QD + CR only</t>
  </si>
  <si>
    <t xml:space="preserve">Space utilization (Ablation: Full Model)</t>
  </si>
  <si>
    <t xml:space="preserve">0.602</t>
  </si>
  <si>
    <t xml:space="preserve">Ablation study with all modules (QD, CR, MI) active.</t>
  </si>
  <si>
    <t xml:space="preserve">Table 3, §4.2</t>
  </si>
  <si>
    <t xml:space="preserve">Space utilization (Ablation: No QD)</t>
  </si>
  <si>
    <t xml:space="preserve">0.413</t>
  </si>
  <si>
    <t xml:space="preserve">Ablation study without Question Decomposition module.</t>
  </si>
  <si>
    <t xml:space="preserve">Space utilization (Ablation: No CR)</t>
  </si>
  <si>
    <t xml:space="preserve">0.259</t>
  </si>
  <si>
    <t xml:space="preserve">Ablation study without Constraint Representation module.</t>
  </si>
  <si>
    <t xml:space="preserve">Space utilization (Ablation: No MI)</t>
  </si>
  <si>
    <t xml:space="preserve">0.527</t>
  </si>
  <si>
    <t xml:space="preserve">Ablation study without Multi-step Iteration module.</t>
  </si>
  <si>
    <t xml:space="preserve">0.94</t>
  </si>
  <si>
    <t xml:space="preserve">Accuracy (ACC)</t>
  </si>
  <si>
    <t xml:space="preserve">72.43 (ChatGPT-4o), 69.85 (Gemini-2.5-flash), 66.57 (Qwen3-VL-Flash)</t>
  </si>
  <si>
    <t xml:space="preserve">Similarity of simulated vs. observed collaboration of focal firm at next step</t>
  </si>
  <si>
    <t xml:space="preserve">§5.1, Table 1</t>
  </si>
  <si>
    <t xml:space="preserve">72.43% (ChatGPT), 69.85% (Gemini), 66.57% (Qwen3)</t>
  </si>
  <si>
    <t xml:space="preserve">Similarity between simulated and observed network evolution for partner selection.</t>
  </si>
  <si>
    <t xml:space="preserve">Section 5.1, Table 1</t>
  </si>
  <si>
    <t xml:space="preserve">0.99</t>
  </si>
  <si>
    <t xml:space="preserve">Precision</t>
  </si>
  <si>
    <t xml:space="preserve">68.20 (ChatGPT), 61.92 (Gemini), 59.38 (Qwen3)</t>
  </si>
  <si>
    <t xml:space="preserve">Simulated vs. observed partner edges</t>
  </si>
  <si>
    <t xml:space="preserve">68.20% (ChatGPT), 61.92% (Gemini), 59.38% (Qwen3)</t>
  </si>
  <si>
    <t xml:space="preserve">Recall</t>
  </si>
  <si>
    <t xml:space="preserve">59.75 (ChatGPT), 58.83 (Gemini), 48.56 (Qwen3)</t>
  </si>
  <si>
    <t xml:space="preserve">59.75% (ChatGPT), 58.83% (Gemini), 48.56% (Qwen3)</t>
  </si>
  <si>
    <t xml:space="preserve">F1-score</t>
  </si>
  <si>
    <t xml:space="preserve">63.11 (ChatGPT), 59.47 (Gemini), 52.67 (Qwen3)</t>
  </si>
  <si>
    <t xml:space="preserve">63.11% (ChatGPT), 59.47% (Gemini), 52.67% (Qwen3)</t>
  </si>
  <si>
    <t xml:space="preserve">Gwet's AC1</t>
  </si>
  <si>
    <t xml:space="preserve">85.17 (ChatGPT), 81.72 (Gemini), 98.21 (Qwen3)</t>
  </si>
  <si>
    <t xml:space="preserve">Global agreement of edge dynamics decisions (add/remove/keep) across runs</t>
  </si>
  <si>
    <t xml:space="preserve">85.17% (ChatGPT), 81.72% (Gemini), 98.21% (Qwen3)</t>
  </si>
  <si>
    <t xml:space="preserve">Global agreement metric for decision consistency (add/remove/keep).</t>
  </si>
  <si>
    <t xml:space="preserve">High consistency ratio share (CR&gt;0.8)</t>
  </si>
  <si>
    <t xml:space="preserve">91.18 (ChatGPT), 84.55 (Gemini), 98.52 (Qwen3)</t>
  </si>
  <si>
    <t xml:space="preserve">Share of firm-level decisions with high consistency</t>
  </si>
  <si>
    <t xml:space="preserve">Consistency Ratio (High CR)</t>
  </si>
  <si>
    <t xml:space="preserve">91.18% (ChatGPT), 84.55% (Gemini), 98.52% (Qwen3)</t>
  </si>
  <si>
    <t xml:space="preserve">Proportion of firms with high decision consistency (CR &gt; 0.8).</t>
  </si>
  <si>
    <t xml:space="preserve">Medium consistency ratio share (0.6&lt;CR&lt;=0.8)</t>
  </si>
  <si>
    <t xml:space="preserve">7.35 (ChatGPT), 14.71 (Gemini), 0.74 (Qwen3)</t>
  </si>
  <si>
    <t xml:space="preserve">Firm-level decision consistency</t>
  </si>
  <si>
    <t xml:space="preserve">Low consistency ratio share (CR&lt;=0.6)</t>
  </si>
  <si>
    <t xml:space="preserve">1.47 (ChatGPT), 0.74 (Gemini), 0.74 (Qwen3)</t>
  </si>
  <si>
    <t xml:space="preserve">metric, value, unit, context, page_section_reference</t>
  </si>
  <si>
    <t xml:space="preserve">Expert rating Q1 (reasonable plans, Stage 1)</t>
  </si>
  <si>
    <t xml:space="preserve">4.3 (SD 0.67)</t>
  </si>
  <si>
    <t xml:space="preserve">5-point Likert</t>
  </si>
  <si>
    <t xml:space="preserve">10 management master's students as experts</t>
  </si>
  <si>
    <t xml:space="preserve">§5.2, Table 2</t>
  </si>
  <si>
    <t xml:space="preserve">Expert Rating: Agent formulates reasonable plans</t>
  </si>
  <si>
    <t xml:space="preserve">4.3 / 0.67</t>
  </si>
  <si>
    <t xml:space="preserve">Likert scale (1-5)</t>
  </si>
  <si>
    <t xml:space="preserve">Expert-based subjective evaluation of Stage 1 agent behavior.</t>
  </si>
  <si>
    <t xml:space="preserve">Section 5.2, Table 2</t>
  </si>
  <si>
    <t xml:space="preserve">0.67</t>
  </si>
  <si>
    <t xml:space="preserve">Expert rating Q2 (reasonable candidate selection, Stage 2&amp;3)</t>
  </si>
  <si>
    <t xml:space="preserve">3.7 (SD 0.67)</t>
  </si>
  <si>
    <t xml:space="preserve">Lowest-rated item</t>
  </si>
  <si>
    <t xml:space="preserve">Expert Rating: Agent reasonably selected candidate companies</t>
  </si>
  <si>
    <t xml:space="preserve">3.7 / 0.67</t>
  </si>
  <si>
    <t xml:space="preserve">Expert-based subjective evaluation of Stage 2 &amp; 3 agent behavior.</t>
  </si>
  <si>
    <t xml:space="preserve">0.74</t>
  </si>
  <si>
    <t xml:space="preserve">Expert rating Q3 (reasonable responses of other agents, Stage 4)</t>
  </si>
  <si>
    <t xml:space="preserve">4.7 (SD 0.48)</t>
  </si>
  <si>
    <t xml:space="preserve">Expert evaluation</t>
  </si>
  <si>
    <t xml:space="preserve">Expert Rating: Responses of other agents are reasonable</t>
  </si>
  <si>
    <t xml:space="preserve">4.7 / 0.48</t>
  </si>
  <si>
    <t xml:space="preserve">Expert-based subjective evaluation of Stage 4 agent behavior.</t>
  </si>
  <si>
    <t xml:space="preserve">0.84</t>
  </si>
  <si>
    <t xml:space="preserve">Expert rating Q4 (adherence to external knowledge)</t>
  </si>
  <si>
    <t xml:space="preserve">4.4 (SD 0.83)</t>
  </si>
  <si>
    <t xml:space="preserve">Expert Rating: Agent adhered to external knowledge</t>
  </si>
  <si>
    <t xml:space="preserve">4.4 / 0.83</t>
  </si>
  <si>
    <t xml:space="preserve">Expert-based subjective evaluation of agent adherence to guidance.</t>
  </si>
  <si>
    <t xml:space="preserve">0.92</t>
  </si>
  <si>
    <t xml:space="preserve">value, unit, context, page_section_reference</t>
  </si>
  <si>
    <t xml:space="preserve">NASA-TLX Mental demand</t>
  </si>
  <si>
    <t xml:space="preserve">2.16 (SD 0.98) Research; 2.33 (SD 0.52) Enterprise</t>
  </si>
  <si>
    <t xml:space="preserve">User study N=12</t>
  </si>
  <si>
    <t xml:space="preserve">§7.3, Table 5</t>
  </si>
  <si>
    <t xml:space="preserve">NASA-TLX Mental Demand</t>
  </si>
  <si>
    <t xml:space="preserve">2.16 (Research), 2.33 (Enterprise)</t>
  </si>
  <si>
    <t xml:space="preserve">Cognitive workload assessment in user study.</t>
  </si>
  <si>
    <t xml:space="preserve">Section 7.3, Table 5</t>
  </si>
  <si>
    <t xml:space="preserve">NASA-TLX Physical demand</t>
  </si>
  <si>
    <t xml:space="preserve">1.5 (SD 0.55) Research; 1.33 (SD 0.52) Enterprise</t>
  </si>
  <si>
    <t xml:space="preserve">User study</t>
  </si>
  <si>
    <t xml:space="preserve">NASA-TLX Temporal demand</t>
  </si>
  <si>
    <t xml:space="preserve">2.33 (SD 0.52) Research; 2.5 (SD 0.55) Enterprise</t>
  </si>
  <si>
    <t xml:space="preserve">16</t>
  </si>
  <si>
    <t xml:space="preserve">NASA-TLX Performance</t>
  </si>
  <si>
    <t xml:space="preserve">4.17 (SD 0.41) Research; 4.33 (SD 0.52) Enterprise</t>
  </si>
  <si>
    <t xml:space="preserve">17</t>
  </si>
  <si>
    <t xml:space="preserve">NASA-TLX Effort</t>
  </si>
  <si>
    <t xml:space="preserve">2.83 (SD 0.75) Research; 2.67 (SD 0.52) Enterprise</t>
  </si>
  <si>
    <t xml:space="preserve">18</t>
  </si>
  <si>
    <t xml:space="preserve">NASA-TLX Frustration</t>
  </si>
  <si>
    <t xml:space="preserve">1.67 (SD 0.52) Research; 1.83 (SD 0.41) Enterprise</t>
  </si>
  <si>
    <t xml:space="preserve">0.55</t>
  </si>
  <si>
    <t xml:space="preserve">19</t>
  </si>
  <si>
    <t xml:space="preserve">Ease of use (Q7)</t>
  </si>
  <si>
    <t xml:space="preserve">3.83 (SD 0.41) Research; 4.17 (SD 0.41) Enterprise</t>
  </si>
  <si>
    <t xml:space="preserve">Usability</t>
  </si>
  <si>
    <t xml:space="preserve">Usability: Easy to Use</t>
  </si>
  <si>
    <t xml:space="preserve">3.83 (Research), 4.17 (Enterprise)</t>
  </si>
  <si>
    <t xml:space="preserve">System usability assessment in user study.</t>
  </si>
  <si>
    <t xml:space="preserve">Functions well integrated (Q8)</t>
  </si>
  <si>
    <t xml:space="preserve">4.5 (SD 0.55) Research; 4.33 (SD 0.52) Enterprise</t>
  </si>
  <si>
    <t xml:space="preserve">Quick to learn (Q9)</t>
  </si>
  <si>
    <t xml:space="preserve">1.67 (SD 0.82) Research; 1.33 (SD 1.03) Enterprise</t>
  </si>
  <si>
    <t xml:space="preserve">Usability; reported as relatively lower learnability</t>
  </si>
  <si>
    <t xml:space="preserve">22</t>
  </si>
  <si>
    <t xml:space="preserve">Frequency of use (Q10)</t>
  </si>
  <si>
    <t xml:space="preserve">4.67 (SD 0.52) Research; 4.33 (SD 0.52) Enterprise</t>
  </si>
  <si>
    <t xml:space="preserve">23</t>
  </si>
  <si>
    <t xml:space="preserve">Confidence (Q11)</t>
  </si>
  <si>
    <t xml:space="preserve">4.17 (SD 0.41) both groups</t>
  </si>
  <si>
    <t xml:space="preserve">Inconsistency (Q12)</t>
  </si>
  <si>
    <t xml:space="preserve">1.50 (SD 0.55) Research; 1.67 (SD 0.52) Enterprise</t>
  </si>
  <si>
    <t xml:space="preserve">Usability (lower is better)</t>
  </si>
  <si>
    <t xml:space="preserve">25</t>
  </si>
  <si>
    <t xml:space="preserve">Upload Page &amp; Control Panel help initialize MAS (Q13)</t>
  </si>
  <si>
    <t xml:space="preserve">Effectiveness</t>
  </si>
  <si>
    <t xml:space="preserve">Effectiveness: Upload Page &amp; Control Panel help initialize MAS</t>
  </si>
  <si>
    <t xml:space="preserve">4.67 (Research), 4.33 (Enterprise)</t>
  </si>
  <si>
    <t xml:space="preserve">Effectiveness assessment in user study.</t>
  </si>
  <si>
    <t xml:space="preserve">26</t>
  </si>
  <si>
    <t xml:space="preserve">Global View (Q14)</t>
  </si>
  <si>
    <t xml:space="preserve">4.33 (SD 0.82) Research; 4.33 (SD 0.52) Enterprise</t>
  </si>
  <si>
    <t xml:space="preserve">27</t>
  </si>
  <si>
    <t xml:space="preserve">Focus View (Q15)</t>
  </si>
  <si>
    <t xml:space="preserve">4.17 (SD 0.75) Research; 4.5 (SD 0.55) Enterprise</t>
  </si>
  <si>
    <t xml:space="preserve">28</t>
  </si>
  <si>
    <t xml:space="preserve">Adjustment View (Q16)</t>
  </si>
  <si>
    <t xml:space="preserve">4.5 (SD 0.55) Research; 4.17 (SD 0.75) Enterprise</t>
  </si>
  <si>
    <t xml:space="preserve">Simulation Path View (Q17)</t>
  </si>
  <si>
    <t xml:space="preserve">4.17 (SD 0.75) both groups</t>
  </si>
  <si>
    <t xml:space="preserve">0.8</t>
  </si>
  <si>
    <t xml:space="preserve">accuracy</t>
  </si>
  <si>
    <t xml:space="preserve">around 90</t>
  </si>
  <si>
    <t xml:space="preserve">Accuracy of the current production deployment using GPT-4 on what-if question answering</t>
  </si>
  <si>
    <t xml:space="preserve">Sec. 6, Evaluation and Deployment</t>
  </si>
  <si>
    <t xml:space="preserve">Accuracy</t>
  </si>
  <si>
    <t xml:space="preserve">90%</t>
  </si>
  <si>
    <t xml:space="preserve">Accuracy achieved by the current deployment using GPT-4.</t>
  </si>
  <si>
    <t xml:space="preserve">Section 6, Evaluation and Deployment</t>
  </si>
  <si>
    <t xml:space="preserve">fulfillment investigation time saved</t>
  </si>
  <si>
    <t xml:space="preserve">around 23</t>
  </si>
  <si>
    <t xml:space="preserve">Estimated planner time saved on fulfillment investigation by the Q&amp;A system</t>
  </si>
  <si>
    <t xml:space="preserve">Sec. 6, User Experience and Impact</t>
  </si>
  <si>
    <t xml:space="preserve">Fulfillment investigation time saved</t>
  </si>
  <si>
    <t xml:space="preserve">23%</t>
  </si>
  <si>
    <t xml:space="preserve">Estimated percentage of fulfillment investigation time saved by the Q&amp;A system.</t>
  </si>
  <si>
    <t xml:space="preserve">Section 6, User Experience and Impact</t>
  </si>
  <si>
    <t xml:space="preserve">demand drift analysis time</t>
  </si>
  <si>
    <t xml:space="preserve">about a week (before LLM), minutes (with LLM)</t>
  </si>
  <si>
    <t xml:space="preserve">time</t>
  </si>
  <si>
    <t xml:space="preserve">Time for planners to extract all demand plan changes, including root cause</t>
  </si>
  <si>
    <t xml:space="preserve">Time to complete demand drift analysis</t>
  </si>
  <si>
    <t xml:space="preserve">minutes</t>
  </si>
  <si>
    <t xml:space="preserve">Time taken by planners to extract changes and root causes using the LLM system, compared to 'about a week' previously.</t>
  </si>
  <si>
    <t xml:space="preserve">fulfillment Q&amp;A response time</t>
  </si>
  <si>
    <t xml:space="preserve">days (before), few minutes (with LLM)</t>
  </si>
  <si>
    <t xml:space="preserve">Response time to planner questions about the fulfillment plan</t>
  </si>
  <si>
    <t xml:space="preserve">source_file</t>
  </si>
  <si>
    <t xml:space="preserve">title</t>
  </si>
  <si>
    <t xml:space="preserve">doi</t>
  </si>
  <si>
    <t xml:space="preserve">study.schema_version</t>
  </si>
  <si>
    <t xml:space="preserve">study.study_id</t>
  </si>
  <si>
    <t xml:space="preserve">study.bibliographic_metadata.doi</t>
  </si>
  <si>
    <t xml:space="preserve">study.bibliographic_metadata.title</t>
  </si>
  <si>
    <t xml:space="preserve">study.bibliographic_metadata.authors</t>
  </si>
  <si>
    <t xml:space="preserve">study.bibliographic_metadata.affiliations</t>
  </si>
  <si>
    <t xml:space="preserve">study.bibliographic_metadata.country</t>
  </si>
  <si>
    <t xml:space="preserve">study.bibliographic_metadata.year</t>
  </si>
  <si>
    <t xml:space="preserve">study.bibliographic_metadata.venue</t>
  </si>
  <si>
    <t xml:space="preserve">study.bibliographic_metadata.venue_type</t>
  </si>
  <si>
    <t xml:space="preserve">study.bibliographic_metadata.language</t>
  </si>
  <si>
    <t xml:space="preserve">study.bibliographic_metadata.funding_source</t>
  </si>
  <si>
    <t xml:space="preserve">study.bibliographic_metadata.funding_description</t>
  </si>
  <si>
    <t xml:space="preserve">study.bibliographic_metadata.self_authored_flag</t>
  </si>
  <si>
    <t xml:space="preserve">study.study_characterization.research_type</t>
  </si>
  <si>
    <t xml:space="preserve">study.study_characterization.research_type_rationale</t>
  </si>
  <si>
    <t xml:space="preserve">study.study_characterization.validation_status</t>
  </si>
  <si>
    <t xml:space="preserve">study.study_characterization.validation_status_rationale</t>
  </si>
  <si>
    <t xml:space="preserve">study.study_characterization.industry_sector</t>
  </si>
  <si>
    <t xml:space="preserve">study.study_characterization.industry_sector_reasoning</t>
  </si>
  <si>
    <t xml:space="preserve">study.study_characterization.case_study_domain</t>
  </si>
  <si>
    <t xml:space="preserve">study.study_characterization.case_study_domain_reasoning</t>
  </si>
  <si>
    <t xml:space="preserve">study.study_characterization.stated_research_questions</t>
  </si>
  <si>
    <t xml:space="preserve">study.study_characterization.stated_research_questions_reasoning</t>
  </si>
  <si>
    <t xml:space="preserve">study.strategic_planning_scope.subdomain</t>
  </si>
  <si>
    <t xml:space="preserve">study.strategic_planning_scope.subdomain_mapping_rationale</t>
  </si>
  <si>
    <t xml:space="preserve">study.strategic_planning_scope.planning_task_type</t>
  </si>
  <si>
    <t xml:space="preserve">study.strategic_planning_scope.other_planning_task_specification</t>
  </si>
  <si>
    <t xml:space="preserve">study.strategic_planning_scope.planning_task_type_reasoning</t>
  </si>
  <si>
    <t xml:space="preserve">study.strategic_planning_scope.scp_process</t>
  </si>
  <si>
    <t xml:space="preserve">study.strategic_planning_scope.scp_process_reasoning</t>
  </si>
  <si>
    <t xml:space="preserve">study.strategic_planning_scope.vdi5200_phase</t>
  </si>
  <si>
    <t xml:space="preserve">study.strategic_planning_scope.vdi5200_phase_reasoning</t>
  </si>
  <si>
    <t xml:space="preserve">study.strategic_planning_scope.time_horizon_explicitly_stated</t>
  </si>
  <si>
    <t xml:space="preserve">study.strategic_planning_scope.time_horizon_explicitly_stated_reasoning</t>
  </si>
  <si>
    <t xml:space="preserve">study.strategic_planning_scope.stated_horizon_value</t>
  </si>
  <si>
    <t xml:space="preserve">study.strategic_planning_scope.planning_horizon_tiers</t>
  </si>
  <si>
    <t xml:space="preserve">study.strategic_planning_scope.planning_horizon_rationale</t>
  </si>
  <si>
    <t xml:space="preserve">study.strategic_planning_scope.authors_claimed_tier</t>
  </si>
  <si>
    <t xml:space="preserve">study.strategic_planning_scope.authors_claimed_tier_reasoning</t>
  </si>
  <si>
    <t xml:space="preserve">study.strategic_planning_scope.system_configuring_decision</t>
  </si>
  <si>
    <t xml:space="preserve">study.strategic_planning_scope.system_configuring_decision_reasoning</t>
  </si>
  <si>
    <t xml:space="preserve">study.strategic_planning_scope.system_configuring_decision_stated</t>
  </si>
  <si>
    <t xml:space="preserve">study.strategic_planning_scope.system_configuring_decision_stated_reasoning</t>
  </si>
  <si>
    <t xml:space="preserve">study.strategic_planning_scope.system_configuring_decision_description</t>
  </si>
  <si>
    <t xml:space="preserve">study.strategic_planning_scope.theoretical_framework_cited</t>
  </si>
  <si>
    <t xml:space="preserve">study.strategic_planning_scope.theoretical_framework_cited_reasoning</t>
  </si>
  <si>
    <t xml:space="preserve">study.strategic_planning_scope.theoretical_framework_rationale</t>
  </si>
  <si>
    <t xml:space="preserve">study.strategic_planning_scope.other_theoretical_framework_specification</t>
  </si>
  <si>
    <t xml:space="preserve">study.llm_intervention.intervention_description</t>
  </si>
  <si>
    <t xml:space="preserve">study.llm_intervention.models</t>
  </si>
  <si>
    <t xml:space="preserve">study.llm_intervention.models_rationale</t>
  </si>
  <si>
    <t xml:space="preserve">study.llm_intervention.model_usage_context</t>
  </si>
  <si>
    <t xml:space="preserve">study.llm_intervention.model_family</t>
  </si>
  <si>
    <t xml:space="preserve">study.llm_intervention.model_family_reasoning</t>
  </si>
  <si>
    <t xml:space="preserve">study.llm_intervention.other_model_family_specification</t>
  </si>
  <si>
    <t xml:space="preserve">study.llm_intervention.open_weight</t>
  </si>
  <si>
    <t xml:space="preserve">study.llm_intervention.open_weight_rationale</t>
  </si>
  <si>
    <t xml:space="preserve">study.llm_intervention.model_size</t>
  </si>
  <si>
    <t xml:space="preserve">study.llm_intervention.deployment</t>
  </si>
  <si>
    <t xml:space="preserve">study.llm_intervention.deployment_reasoning</t>
  </si>
  <si>
    <t xml:space="preserve">study.llm_intervention.modality</t>
  </si>
  <si>
    <t xml:space="preserve">study.llm_intervention.modality_reasoning</t>
  </si>
  <si>
    <t xml:space="preserve">study.llm_intervention.fine_tuning</t>
  </si>
  <si>
    <t xml:space="preserve">study.llm_intervention.fine_tuning_reasoning</t>
  </si>
  <si>
    <t xml:space="preserve">study.llm_intervention.fine_tuning_description</t>
  </si>
  <si>
    <t xml:space="preserve">study.llm_intervention.other_fine_tuning_specification</t>
  </si>
  <si>
    <t xml:space="preserve">study.llm_intervention.prompting_techniques</t>
  </si>
  <si>
    <t xml:space="preserve">study.llm_intervention.prompting_techniques_reasoning</t>
  </si>
  <si>
    <t xml:space="preserve">study.llm_intervention.other_prompting_technique_specification</t>
  </si>
  <si>
    <t xml:space="preserve">study.llm_intervention.agentic_architecture</t>
  </si>
  <si>
    <t xml:space="preserve">study.llm_intervention.agentic_architecture_reasoning</t>
  </si>
  <si>
    <t xml:space="preserve">study.llm_intervention.workflow_patterns</t>
  </si>
  <si>
    <t xml:space="preserve">study.llm_intervention.workflow_patterns_reasoning</t>
  </si>
  <si>
    <t xml:space="preserve">study.llm_intervention.agent_memory</t>
  </si>
  <si>
    <t xml:space="preserve">study.llm_intervention.planning_reflection</t>
  </si>
  <si>
    <t xml:space="preserve">study.llm_intervention.tool_use</t>
  </si>
  <si>
    <t xml:space="preserve">study.llm_intervention.agent_capabilities_reasoning</t>
  </si>
  <si>
    <t xml:space="preserve">study.llm_intervention.integrations</t>
  </si>
  <si>
    <t xml:space="preserve">study.llm_intervention.integrations_reasoning</t>
  </si>
  <si>
    <t xml:space="preserve">study.or_substrate.optimization_tradition_present</t>
  </si>
  <si>
    <t xml:space="preserve">study.or_substrate.optimization_tradition_present_reasoning</t>
  </si>
  <si>
    <t xml:space="preserve">study.or_substrate.formalization_level</t>
  </si>
  <si>
    <t xml:space="preserve">study.or_substrate.formalization_level_reasoning</t>
  </si>
  <si>
    <t xml:space="preserve">study.or_substrate.optimization_paradigm</t>
  </si>
  <si>
    <t xml:space="preserve">study.or_substrate.optimization_paradigm_reasoning</t>
  </si>
  <si>
    <t xml:space="preserve">study.or_substrate.other_optimization_paradigm_specification</t>
  </si>
  <si>
    <t xml:space="preserve">study.or_substrate.llm_or_role</t>
  </si>
  <si>
    <t xml:space="preserve">study.or_substrate.llm_or_role_reasoning</t>
  </si>
  <si>
    <t xml:space="preserve">study.or_substrate.solver_type</t>
  </si>
  <si>
    <t xml:space="preserve">study.or_substrate.solver_type_reasoning</t>
  </si>
  <si>
    <t xml:space="preserve">study.or_substrate.optimization_description</t>
  </si>
  <si>
    <t xml:space="preserve">study.evaluation_and_outcomes.study_design</t>
  </si>
  <si>
    <t xml:space="preserve">study.evaluation_and_outcomes.study_design_reasoning</t>
  </si>
  <si>
    <t xml:space="preserve">study.evaluation_and_outcomes.evaluation_paradigm</t>
  </si>
  <si>
    <t xml:space="preserve">study.evaluation_and_outcomes.evaluation_paradigm_reasoning</t>
  </si>
  <si>
    <t xml:space="preserve">study.evaluation_and_outcomes.dataset_or_benchmark</t>
  </si>
  <si>
    <t xml:space="preserve">study.evaluation_and_outcomes.dataset_or_benchmark_reasoning</t>
  </si>
  <si>
    <t xml:space="preserve">study.evaluation_and_outcomes.comparator</t>
  </si>
  <si>
    <t xml:space="preserve">study.evaluation_and_outcomes.comparator_reasoning</t>
  </si>
  <si>
    <t xml:space="preserve">study.evaluation_and_outcomes.reported_metrics_reasoning</t>
  </si>
  <si>
    <t xml:space="preserve">study.evaluation_and_outcomes.independent_evaluation</t>
  </si>
  <si>
    <t xml:space="preserve">study.evaluation_and_outcomes.independent_evaluation_reasoning</t>
  </si>
  <si>
    <t xml:space="preserve">study.evaluation_and_outcomes.sample_size</t>
  </si>
  <si>
    <t xml:space="preserve">study.evaluation_and_outcomes.sample_size_reasoning</t>
  </si>
  <si>
    <t xml:space="preserve">study.evaluation_and_outcomes.repeated_runs</t>
  </si>
  <si>
    <t xml:space="preserve">study.evaluation_and_outcomes.llm_as_judge</t>
  </si>
  <si>
    <t xml:space="preserve">study.evaluation_and_outcomes.efficiency_metrics_reported</t>
  </si>
  <si>
    <t xml:space="preserve">study.evaluation_and_outcomes.statistical_testing</t>
  </si>
  <si>
    <t xml:space="preserve">study.evaluation_and_outcomes.llm_evaluation_properties_reasoning</t>
  </si>
  <si>
    <t xml:space="preserve">study.evaluation_and_outcomes.reported_limitations</t>
  </si>
  <si>
    <t xml:space="preserve">study.evaluation_and_outcomes.reported_limitations_reasoning</t>
  </si>
  <si>
    <t xml:space="preserve">study.evaluation_and_outcomes.outcome_summary</t>
  </si>
  <si>
    <t xml:space="preserve">study.retrieval_traceability.source</t>
  </si>
  <si>
    <t xml:space="preserve">study.retrieval_traceability.source_reasoning</t>
  </si>
  <si>
    <t xml:space="preserve">study.retrieval_traceability.anchor_papers</t>
  </si>
  <si>
    <t xml:space="preserve">study.gap_indicators.hitl_pattern_present</t>
  </si>
  <si>
    <t xml:space="preserve">study.gap_indicators.hitl_pattern_present_reasoning</t>
  </si>
  <si>
    <t xml:space="preserve">study.gap_indicators.hitl_type</t>
  </si>
  <si>
    <t xml:space="preserve">study.gap_indicators.hitl_type_reasoning</t>
  </si>
  <si>
    <t xml:space="preserve">study.gap_indicators.hitl_description</t>
  </si>
  <si>
    <t xml:space="preserve">study.gap_indicators.hitl_type_other_specification</t>
  </si>
  <si>
    <t xml:space="preserve">study.gap_indicators.domain_knowledge_formalization_present</t>
  </si>
  <si>
    <t xml:space="preserve">study.gap_indicators.domain_knowledge_formalization_present_reasoning</t>
  </si>
  <si>
    <t xml:space="preserve">study.gap_indicators.domain_knowledge_type</t>
  </si>
  <si>
    <t xml:space="preserve">study.gap_indicators.domain_knowledge_type_reasoning</t>
  </si>
  <si>
    <t xml:space="preserve">study.gap_indicators.domain_knowledge_description</t>
  </si>
  <si>
    <t xml:space="preserve">study.gap_indicators.domain_knowledge_type_other_specification</t>
  </si>
  <si>
    <t xml:space="preserve">study.gap_indicators.evaluation_framework_used</t>
  </si>
  <si>
    <t xml:space="preserve">study.gap_indicators.evaluation_framework_used_reasoning</t>
  </si>
  <si>
    <t xml:space="preserve">study.gap_indicators.evaluation_framework_type</t>
  </si>
  <si>
    <t xml:space="preserve">study.gap_indicators.evaluation_framework_type_reasoning</t>
  </si>
  <si>
    <t xml:space="preserve">study.gap_indicators.evaluation_framework_description</t>
  </si>
  <si>
    <t xml:space="preserve">study.gap_indicators.evaluation_framework_type_other_specification</t>
  </si>
  <si>
    <t xml:space="preserve">study.gap_indicators.kg_model</t>
  </si>
  <si>
    <t xml:space="preserve">study.gap_indicators.kg_construction</t>
  </si>
  <si>
    <t xml:space="preserve">study.gap_indicators.kg_usage</t>
  </si>
  <si>
    <t xml:space="preserve">study.gap_indicators.kg_reasoning</t>
  </si>
  <si>
    <t xml:space="preserve">study.gap_indicators.standards_encoded</t>
  </si>
  <si>
    <t xml:space="preserve">study.gap_indicators.automation_stage</t>
  </si>
  <si>
    <t xml:space="preserve">study.gap_indicators.automation_stage_reasoning</t>
  </si>
  <si>
    <t xml:space="preserve">study.gap_indicators.decision_autonomy</t>
  </si>
  <si>
    <t xml:space="preserve">study.gap_indicators.decision_autonomy_reasoning</t>
  </si>
  <si>
    <t xml:space="preserve">study.quality_appraisal.q1_methodological_transparency</t>
  </si>
  <si>
    <t xml:space="preserve">study.quality_appraisal.q1_methodological_transparency_reasoning</t>
  </si>
  <si>
    <t xml:space="preserve">study.quality_appraisal.q2_empirical_or_demonstration_grounding</t>
  </si>
  <si>
    <t xml:space="preserve">study.quality_appraisal.q2_empirical_or_demonstration_grounding_reasoning</t>
  </si>
  <si>
    <t xml:space="preserve">study.quality_appraisal.q3_validity_and_limitation_discussion</t>
  </si>
  <si>
    <t xml:space="preserve">study.quality_appraisal.q3_validity_and_limitation_discussion_reasoning</t>
  </si>
  <si>
    <t xml:space="preserve">study.quality_appraisal.q4_positioning_against_prior_work</t>
  </si>
  <si>
    <t xml:space="preserve">study.quality_appraisal.q4_positioning_against_prior_work_reasoning</t>
  </si>
  <si>
    <t xml:space="preserve">study.quality_appraisal.model_version_reported</t>
  </si>
  <si>
    <t xml:space="preserve">study.quality_appraisal.prompts_disclosed</t>
  </si>
  <si>
    <t xml:space="preserve">study.quality_appraisal.decoding_params_reported</t>
  </si>
  <si>
    <t xml:space="preserve">study.quality_appraisal.code_available</t>
  </si>
  <si>
    <t xml:space="preserve">study.quality_appraisal.data_available</t>
  </si>
  <si>
    <t xml:space="preserve">study.quality_appraisal.run_date_reported</t>
  </si>
  <si>
    <t xml:space="preserve">study.quality_appraisal.reproducibility_reasoning</t>
  </si>
  <si>
    <t xml:space="preserve">study.quality_appraisal.low_quality_flag</t>
  </si>
  <si>
    <t xml:space="preserve">study.kg_integrated</t>
  </si>
  <si>
    <t xml:space="preserve">study.consistency_flags</t>
  </si>
  <si>
    <t xml:space="preserve">study.study_type_category</t>
  </si>
  <si>
    <t xml:space="preserve">10.1016_j.jmsy.2026.02.015_retrieval_v2.json</t>
  </si>
  <si>
    <t xml:space="preserve">LLM-driven discrete-event simulation: A generative AI framework for automated model generation, adaptation, and evaluation in manufacturing</t>
  </si>
  <si>
    <t xml:space="preserve">10.1016/j.jmsy.2026.02.015</t>
  </si>
  <si>
    <t xml:space="preserve">0.10.0</t>
  </si>
  <si>
    <t xml:space="preserve">Thomas Schmitt; Nils Gegenmantel; Matías Urenda Moris; Pär Mårtensson; Kaveh Amouzgar</t>
  </si>
  <si>
    <t xml:space="preserve">Scania CV AB, Global Industrial Development, Södertälje, 151 38, Sweden; Uppsala University, Department of Civil and Industrial Engineering, Division of Industrial Engineering &amp; Management, Uppsala, 752 37, Sweden; University of Skövde, School of Engineering Science, 541 28, Skövde, Sweden</t>
  </si>
  <si>
    <t xml:space="preserve">Sweden</t>
  </si>
  <si>
    <t xml:space="preserve">2026</t>
  </si>
  <si>
    <t xml:space="preserve">Journal of Manufacturing Systems</t>
  </si>
  <si>
    <t xml:space="preserve">journal-q1</t>
  </si>
  <si>
    <t xml:space="preserve">en</t>
  </si>
  <si>
    <t xml:space="preserve">Sweden's Innovation Agency (Vinnova)</t>
  </si>
  <si>
    <t xml:space="preserve">This study was partially funded by Sweden's Innovation Agency (Vinnova) through the AI-COMPETE project (grant number 202501066).</t>
  </si>
  <si>
    <t xml:space="preserve">implemented-validated</t>
  </si>
  <si>
    <t xml:space="preserve">[R1] A working Python/SimPy implementation, released on GitHub, was evaluated under a defined protocol with defined metrics (Sec. 4.4, Sec. 5.3.4, Sec. 5.4.4, Sec. 5.5, Sec. 5.6). The protocol covered 10 runs for Case A and 11 runs for Case B, measuring code correctness, error types, CPD flagging, adaptation success and evaluation accuracy (Tables 5 and 7, Fig. 18). Input-output validation compared TH, WIP and SEC against FACTS Analyzer models using means, 95% confidence intervals and a 5%-10% acceptance threshold, following Sargent. Anchor: "21 experimental runs on two industrial case studies from a Swedish automotive manufacturer" (Abstract).
[R2] The system is fully implemented (Python scripts, LLM API calls, blueprint model) and validated through a defined protocol. The authors conducted 21 experimental runs across two case studies, measured specific KPIs (TH, WIP, SEC), and performed input-output validation by comparing results against a commercial simulation tool (FACTS Analyzer) within acceptable thresholds (5-10%). This meets the criteria for 'implemented-validated': 'Working system + evaluation under a defined protocol with defined metrics'. See Section 4.4 (Workflow validation) and Section 5.6 (Validating the workflow with simulation software).</t>
  </si>
  <si>
    <t xml:space="preserve">RQ1: How can LLMs be applied to generate, adapt, and evaluate simulations of manufacturing systems? RQ2: What are the main challenges and benefits associated with implementing LLM-driven simulations?</t>
  </si>
  <si>
    <t xml:space="preserve">[R1] Both research questions are stated verbatim in Sec. 1 (Introduction).
[R2] The research questions are explicitly listed in Section 1 (Introduction) under the paragraph starting with 'To achieve this, the paper addresses two research questions (RQs):'.</t>
  </si>
  <si>
    <t xml:space="preserve">factory-planning</t>
  </si>
  <si>
    <t xml:space="preserve">[R1] The paper uses LLMs to generate, adapt and evaluate DES models of existing production lines: an automated machining line (Case A) and an automated assembly line (Case B) at a Swedish automotive manufacturer. The goal is capacity and energy-efficiency improvement of the lines (Sec. 1, 4, 5). Per Appendix A, simulation-based line and capacity planning within one site maps to factory-planning. This is a boundary case: it is a brownfield improvement of existing lines, and many adaptations are parametric (availability, MTTR, cycle time), which leans tactical or operational. Structural adaptations, however, also touch line configuration, such as adding a third parallel press or changing buffer capacities (Sec. 4.3.3, 5.4.3). No network, site or technology-selection scope.
[R2] The paper focuses on the internal configuration and optimization of production lines (machining and assembly) within a single manufacturing site (Scania CV AB). It addresses capacity, energy efficiency, and inventory (WIP) for existing production lines. This aligns with 'factory-planning' as it deals with the internal logic, parameters, and structural variants of production systems rather than multi-site network design or site selection. The scope is limited to the internal configuration of the factory lines.</t>
  </si>
  <si>
    <t xml:space="preserve">simulation-modeling; capacity-dimensioning</t>
  </si>
  <si>
    <t xml:space="preserve">[R1] The core task is automated DES model generation, adaptation and evaluation (title; Sec. 4.3). Capacity-dimensioning is included because the bottleneck-agent and adaptor-agent propose and implement changes to buffer capacities and add a third parallel press. This is evaluated on throughput, WIP and SEC (Sec. 5.3.3, 5.4.3, Fig. 14). Material-flow-design was considered but not selected: part-flow logic is extracted, not designed. That choice is uncertain (?).
[R2] The primary task is 'simulation-modeling' as the core contribution is an LLM-driven framework for generating, adapting, and evaluating Discrete-Event Simulation (DES) models (Abstract, Section 1). The application of this modeling is for 'capacity-dimensioning' and analysis, specifically assessing throughput, bottlenecks, and energy efficiency to support decision-making on process improvements and resource allocation (Section 1, Section 4.2). It does not involve layout planning or network configuration.</t>
  </si>
  <si>
    <t xml:space="preserve">production</t>
  </si>
  <si>
    <t xml:space="preserve">[R1] All decisions concern production lines: machines, buffers, throughput and energy per part (Sec. 4.2, 5). No procurement, distribution or sales aspects are addressed.
[R2] The study explicitly deals with manufacturing production lines, machine performance, part flow, and production schedules. It does not address procurement, distribution, or sales processes. Section 1 states: 'manufacturing engineering has adapted and developed tools to design and manage production systems'.</t>
  </si>
  <si>
    <t xml:space="preserve">[R1] Only simulation horizons are stated: 30 days for Case A and 7 days for Case B, each with a 1-day warm-up (Sec. 4.3.2, Fig. 5, Fig. 11). These are model run lengths, not planning horizons. No planning horizon is given.
[R2] The paper discusses simulation horizons (e.g., 30 days, 7 days) for the DES models to reach steady state, but does not state a strategic planning time horizon (e.g., '5-year plan'). The focus is on operational/short-term performance analysis and immediate process improvements, not long-term strategic horizons.</t>
  </si>
  <si>
    <t xml:space="preserve">[R1] The supported decisions include adding equipment and setting capacities. Sec. 5.4.3 / Fig. 14: 'Add a third parallel press with its own pre-buffer instance'. Fig. 7: 'Increase the capacity of buffer1, buffer2, and buffer3 to 10.' Sec. 4.3.3 mentions 'structural adaptations (e.g., adding or removing operations)'. These determine what exists in the line. Many other suggestions are purely parametric.
[R2] The method supports decisions that change the system configuration, such as 'adding or removing operations' (Section 4.3.3) and 'adding a third parallel press' (Section 5.4.3). These are decisions about what exists in the system (structural changes), not just how it is operated. Section 4.3.3 explicitly lists 'structural adaptations (e.g., adding or removing operations)' as a complexity level handled by the workflow.</t>
  </si>
  <si>
    <t xml:space="preserve">[R1] The workflow follows the simulation-based production development steps from Schmitt et al. [3]: case definition, current state, future state, decision support (Sec. 2.2, Fig. 1). Sargent's V&amp;V principles are used for validation. Both are general simulation methodology rather than planning-domain frameworks. VDI 5200, the SC Planning Matrix and similar frameworks are not cited.
[R2] The paper cites general simulation principles (Sargent [46]) and Gen-AI concepts, but does not use a specific strategic planning framework like VDI 5200, SC-Planning-Matrix, or Lanza et al. to structure its planning scope. It relies on standard DES methodology and LLM workflow techniques.</t>
  </si>
  <si>
    <t xml:space="preserve">[R1] The paper structures its scope via a generic simulation study procedure and LLM workflow techniques, not via a factory or supply-chain planning reference model.
[R2] The paper focuses on the technical implementation of an LLM-driven simulation workflow. It references standard simulation validation guidelines (Sargent) and Gen-AI literature, but does not adopt a specific strategic planning theoretical framework to define its scope or decision-making structure.</t>
  </si>
  <si>
    <t xml:space="preserve">GPT-5.1; GPT-5-mini; GPT-4o</t>
  </si>
  <si>
    <t xml:space="preserve">[R1] Section 4.1.1 states that the LLMs used were instances of OpenAI's GPT-4o, GPT-5-mini and GPT-5.1, and the API calls in Appendix B show 'gpt-5.1' and 'gpt-5-mini'. Table 2 also lists GPT-5, o3 and GPT-4.1, but only as reference points for quality and cost; they were not deployed. GPT-3 Codex appears only in related work (Jackson et al.). Claude and Gemini are mentioned only as background or as possible alternative providers.
[R2] Section 4.1.1 explicitly states: 'The LLMs chosen for this work were instances of OpenAI's models GPT-4o, GPT-5-mini, and GPT-5.1'. Table 2 lists these models along with their benchmark performance and costs. The paper notes that GPT-5.1 was used for complex tasks (builder/inspector), GPT-5-mini for simpler tasks (adaptor/visualizer/evaluator), and GPT-4o for structured output (bottleneck-agent). Other models like o3 and GPT-4.1 are listed in Table 2 for reference but not used in the method.</t>
  </si>
  <si>
    <t xml:space="preserve">GPT</t>
  </si>
  <si>
    <t xml:space="preserve">[R1] All deployed models are OpenAI GPT models (Section 4.1.1).
[R2] All models used (GPT-5.1, GPT-5-mini, GPT-4o) belong to OpenAI's GPT family, as stated in Section 4.1.1 and Table 2.</t>
  </si>
  <si>
    <t xml:space="preserve">[R1] GPT-5.1, GPT-5-mini and GPT-4o are proprietary OpenAI models (Section 4.1.1).
[R2] The models used are OpenAI's proprietary models (GPT-5.1, GPT-5-mini, GPT-4o), which are not open-weight. Section 4.1.1 mentions they were accessed via the case company's enterprise access to OpenAI's APIs.</t>
  </si>
  <si>
    <t xml:space="preserve">API</t>
  </si>
  <si>
    <t xml:space="preserve">[R1] The models were accessed through OpenAI's API via the case company's enterprise access (Section 4.1.1). The code calls client.chat.completions.create (Appendix B). API costs and default API parameters are reported (Table 2, Fig. 2 caption).
[R2] Section 4.1.1 states: 'OpenAI, for example, built its models into the chat-bot ChatGPT... Lately, AI companies such as OpenAI directly offer application programming interfaces (APIs), to implement its models into company-code workflows.' The paper also mentions 'API calls' in Section 5.2 and Table 5/7 ('requiring eight API requests'). This indicates the models are accessed via API rather than running locally.</t>
  </si>
  <si>
    <t xml:space="preserve">text</t>
  </si>
  <si>
    <t xml:space="preserve">[R1] The prompts consist of text, Python code, markdown tables of station parameters and CPD text (Appendix B, Fig. 3). No image inputs are given to the LLMs.
[R2] The inputs to the LLMs are described as text: 'natural-language instructions', 'blueprint model' (Python code as text), 'structured set of parameters', 'event logs' (processed into text/tables), and 'JSON instructions'. The outputs are also text (Python code, JSON, textual summaries). No images or other modalities are used as input to the LLMs in the described method.</t>
  </si>
  <si>
    <t xml:space="preserve">[R1] No fine-tuning was performed. Fine-tuned models are mentioned only as future work for C++/XML generation (Section 6.4).
[R2] The paper does not mention any fine-tuning of the LLMs. It relies on prompt engineering, zero/one-shot implementations, and evaluator-optimizer loops. Section 4.1.2 describes 'prompt engineering', 'zero-, one-, and few-shot implementations', and 'evaluator-optimizer workflows' as the techniques used. No weight updates or fine-tuning procedures are described.</t>
  </si>
  <si>
    <t xml:space="preserve">zero-shot; few-shot; structured-output</t>
  </si>
  <si>
    <t xml:space="preserve">[R1] Section 4.1.2 describes the techniques explicitly:
- The builder-agent is a one-shot implementation, with the blueprint model as a single example. This is coded as few-shot (in-context example).
- The adaptor-agent operates zero-shot.
- GPT-4o's structured output is used to generate JSON instructions for the bottleneck-agent.
Iterative prompt engineering and refinement was also applied, including output instructions with a worked example (Table 10).
[R2] Section 4.1.2 explicitly mentions 'zero-, one-, and few-shot implementations'. It states the builder-agent uses a 'one-shot implementation' (blueprint model as a single example), while the adaptor-agent operates in a 'zero-shot manner'. Section 4.1.1 mentions GPT-4o was chosen for 'generating JavaScript Object Notation (JSON) instructions', which implies structured output. Table 2 also lists 'Structured output' as a feature of GPT-4o. Prompt engineering is also mentioned as a technique.</t>
  </si>
  <si>
    <t xml:space="preserve">pipeline</t>
  </si>
  <si>
    <t xml:space="preserve">[R1] The authors explicitly build a 'workflow' in Anthropic's sense: predefined code paths with individual LLM calls. They state that 'with agents we do not refer to a fully autonomous system but instead refer to individual LLM calls integrated into the workflow' (Section 2.1). The specialised roles (builder, inspector, visualizer, bottleneck, CPD, adaptor, evaluator) follow a fixed developer-defined sequence, with 6+N API calls (Section 5.2, Fig. 4).
[R2] The system is described as a 'workflow' with 'predefined code paths' (Section 2.1, citing Anthropic's definition). The LLMs are integrated into a fixed sequence of steps: input data analysis -&gt; model generation -&gt; model adaptation -&gt; model evaluation. Each step uses specific LLM roles (builder, inspector, etc.) in a deterministic order defined by the developer. This fits the 'pipeline' definition: 'Fixed, developer-defined sequence of several specialised LLM roles'. The authors explicitly distinguish this from 'agents' (autonomous decision-making) and state they focus on 'building an effective LLM-driven workflow within a rather narrow code path' (Section 2.1).</t>
  </si>
  <si>
    <t xml:space="preserve">[R1] Prompt-chaining: there is a fixed sequence in which builder output feeds the inspector and visualizer, the bottleneck-agent's suggestions feed the CPD-agent and adaptor-agent, and the adapted models' results feed the evaluator. Evaluator-optimizer: Section 4.1.2 states 'one LLM call generates and another inspects and, if necessary, repairs the code' (inspector-agent). It is unclear whether this is iterated as a loop. Parallelization is not coded: N adaptor instances each implement one suggestion separately and the evaluator compares them, but parallel execution is not stated. Orchestrator-workers configurations are mentioned as already implemented but were not evaluated (Section 6.4), so they are not coded.
[R2] The workflow involves a fixed sequence of LLM calls where each step processes the output of the previous one (e.g., builder generates code, inspector checks it, adaptor modifies it), which is 'prompt-chaining'. Additionally, the 'evaluator-optimizer' pattern is explicitly used: 'The evaluator-optimizer technique is used where one LLM call generates and another inspects and, if necessary, repairs the code' (Section 4.1.2). This is seen in the builder/inspector and adaptor/inspector pairs.</t>
  </si>
  <si>
    <t xml:space="preserve">[R1] Each agent is a single stateless chat-completion call with all context included in the prompt (Appendix B). No conversation history or persistent memory is described. Code inspection is done by a separate inspector call rather than by self-reflection, and there is no explicit planning step. All code execution and tool calls (simulation runs, bottleneck analysis, plotting) are fixed by the developer in the Python workflow, not chosen by the LLMs.
[R2] The system is a fixed pipeline, not an autonomous agent. There is no mention of memory beyond the current prompt/context window. The LLMs do not plan or reflect in an agentic sense; they follow predefined prompts. They do not decide to call tools at runtime; the workflow structure dictates which LLM is called and with what inputs. The 'agents' are just LLM calls in a fixed sequence.</t>
  </si>
  <si>
    <t xml:space="preserve">simulation-platform; code-execution</t>
  </si>
  <si>
    <t xml:space="preserve">[R1] The LLM-generated Python code is a SimPy DES model that the workflow executes over several replications to obtain KPIs (Sections 4.3.2 and 4.3.4). This is coded as code-execution plus simulation-platform (SimPy). MES event logs and PM4Py process mining are used only in pre-LLM data preparation by static Python code (Section 4.3.1), so they are not coded as LLM integrations. FACTS Analyzer was used only for manual validation (Section 5.6).
[R2] The LLMs generate Python code that is executed using SimPy (a simulation platform/library). Section 4.3.2 states: 'A builder-agent translates the input data to generate the current-state simulation model using SimPy, a Python-based DES library'. The code is then executed to get KPIs. This is 'code-execution' and 'simulation-platform' integration. The paper also mentions comparing results with FACTS Analyzer (a commercial simulation software), but the LLMs themselves generate code for SimPy. The MES is used for data collection, not as an integration for the LLM's decision-making process in the same way. The primary integration is with the simulation environment via code execution.</t>
  </si>
  <si>
    <t xml:space="preserve">[R1] The method generates, adapts and evaluates SimPy discrete-event simulation models for what-if scenario exploration. There is no formal optimization problem and no solver call (Sec. 4.3). Utilization-based bottleneck analysis feeds a GPT-4o bottleneck-agent that proposes 3 (+1 human) improvement suggestions, by default three. Each suggestion is implemented once as an adapted model and simulated, and an evaluator-agent compares the KPIs (TH, WIP, SEC) and recommends trade-offs (Sec. 4.3.3–4.3.4, 5.3–5.4). This is a single-pass comparison of a few scenarios, not an iterative search over a decision space with a formal objective. Optimization is mentioned only in the background, where DES is said to support design of experiments and optimization [2,3]. It also appears as future work: 'Integrating design of experiments (DOE) or optimization modules could extend the workflow's ability to explore broader search spaces' (Sec. 6.4). Borderline: the LLM-proposes / simulation-evaluates loop loosely resembles simulation-based improvement. It is not framed or implemented as optimization, so it is coded false.
[R2] The paper focuses on automating the generation, adaptation, and evaluation of Discrete-Event Simulation (DES) models using LLMs. While it mentions 'optimization' in the introduction as a general application of DES (ref [3]) and discusses 'optimization modules' as future work (Section 6.4), the proposed method itself does not formulate or solve an optimization problem (e.g., MILP, metaheuristic search). Instead, it uses a heuristic bottleneck analysis (utilization-based) to generate specific parameter changes (suggestions) which are then implemented and evaluated via simulation. The core contribution is the LLM-driven workflow for simulation modeling, not an optimization algorithm.</t>
  </si>
  <si>
    <t xml:space="preserve">[R1] No optimization tradition is present in the proposed method. KPIs (TH, WIP, SEC) are compared informally by an LLM evaluator, and no objective function, decision variables or constraints are formalized. Critical process definitions are checked textually by the CPD-agent rather than serving as optimization constraints.
[R2] Since no optimization problem is formally formulated or solved by the proposed method, the formalization level is 'none'. The method relies on simulation execution and LLM-based code generation/modification rather than mathematical optimization.</t>
  </si>
  <si>
    <t xml:space="preserve">[R1] Empty because no optimization is performed by the method. Scenario evaluation via DES is what-if analysis, not simulation-optimization. DOE and optimization modules are explicitly left to future work (Sec. 6.4).
[R2] No optimization paradigm is used by the method itself. The workflow uses simulation (SimPy) for evaluation and LLMs for code generation, but does not employ simulation-optimization loops, metaheuristics, or other OR paradigms as part of its core mechanism.</t>
  </si>
  <si>
    <t xml:space="preserve">[R1] There is no optimizer in the method. The LLMs act as simulation model builder, inspector, visualizer, adaptor, bottleneck-suggestion generator, CPD constraint checker and result evaluator for DES models. None of these interacts with an optimization solver or formal optimization model (Sec. 4.1.1, 4.3, Fig. 4).
[R2] The LLMs act as code generators and interpreters for simulation models, not as optimizers, formulators of mathematical programs, or solver orchestrators in the OR sense. They generate Python code for SimPy, adapt it based on instructions, and interpret simulation results. They do not interact with an OR solver or formulate an optimization model.</t>
  </si>
  <si>
    <t xml:space="preserve">[R1] No optimization solver is reported. The tools used are SimPy (a DES library), PM4Py (process mining) and FACTS Analyzer (for validation simulation); none of these is an optimization solver (Sec. 4.3.1, 4.3.2, 4.4).
[R2] No OR solver (e.g., Gurobi, CPLEX) is used. The simulation engine used is SimPy (a Python library), and validation is done against FACTS Analyzer (commercial simulation software), but these are simulation tools, not optimization solvers.</t>
  </si>
  <si>
    <t xml:space="preserve">multi-case</t>
  </si>
  <si>
    <t xml:space="preserve">[R1] The workflow was applied to two distinct real-world production lines at a Swedish automotive manufacturer: Case A, an automated machining line with 4 serial operations, and Case B, an automated assembly line with 7 operations including parallel presses (Sec. 5, 5.3, 5.4). It was run 10 times on Case A and 11 times on Case B, for 21 runs in total. The runs check repeatability on the same cases; they do not form a controlled comparison of conditions, so this is not quasi-experimental. There was no participant user study and no operational deployment: implementing changes in production was out of scope (Fig. 1 caption).
[R2] The paper explicitly states in the Abstract and Section 5 that the framework was validated using 'two industrial case studies from a Swedish automotive manufacturer' (Case A and Case B). Section 5.3 details Case A (automated machining line) and Section 5.4 details Case B (automated assembly line). This fits the definition of 'multi-case' (two or more distinct cases worked through).</t>
  </si>
  <si>
    <t xml:space="preserve">conventional-method</t>
  </si>
  <si>
    <t xml:space="preserve">[R1] Sec. 4.4 and 5.6: the LLM-generated SimPy models from the first experiment of each case were compared against equivalent models manually rebuilt in the commercial simulation software FACTS Analyzer, using TH, SEC and WIP deviations. This is coded as conventional-method (commercial software applied to the same cases). Uncertainty: the FACTS models serve mainly as a validation reference and could arguably be treated as ground truth rather than a comparator. They could also be read as a manual human baseline, but modeling time and effort were not compared. The authors state that comparison against manual modeling practices and ASMG approaches is future work (Sec. 6.4).
[R2] Section 5.6 ('Validating the workflow with simulation software') states that the LLM-generated Python models were compared against 'equivalent models built in FACTS Analyzer simulation software'. FACTS Analyzer is a commercial, non-AI simulation tool, fitting the 'conventional-method' category. The comparison validates the accuracy of the LLM-generated models against a standard industry tool.</t>
  </si>
  <si>
    <t xml:space="preserve">[R1] The authors ran all experiments and the validation themselves. Validation also involved discussions with a simulation expert at the case company (Scania), which employs several of the authors (Sec. 4.4). No third-party or blind external evaluation was reported.
[R2] The evaluation was conducted by the authors and their project partners (Scania CV AB and Uppsala University). Section 4.4 mentions 'frequent discussions with a simulation expert at the company' and 'human operator' checks, but these are internal stakeholders/partners, not independent third-party evaluators. There is no mention of external blind testing or independent academic replication for the evaluation results.</t>
  </si>
  <si>
    <t xml:space="preserve">yes</t>
  </si>
  <si>
    <t xml:space="preserve">[R1] Repeated runs: the full LLM workflow was executed 10 times on Case A and 11 times on Case B to capture output variability (Tables 5 and 7). The minimum of 10 is coded because the schema requires a single integer. LLM-as-judge: the inspector and evaluator agents are components of the method itself; the method's outputs were judged by the authors and the human-in-the-loop, not by an LLM. Efficiency: tokens, API cost and execution time are reported (Table 5 and 7 captions). Statistical testing: input-output validation against FACTS Analyzer used means and 95% confidence intervals from independent replications (Sec. 4.4, 5.6). No hypothesis tests were reported.
[R2] Repeated runs: 21 total runs across two cases. LLM as judge: The 'evaluator-agent' interprets results, but the *evaluation of the framework's validity* is done by comparing against FACTS Analyzer (conventional method) and human inspection, not by an LLM scoring the LLM's performance against a ground truth in a meta-evaluation sense. However, the 'evaluator-agent' is part of the workflow. The schema asks if an LLM scores/judges the *outputs of the paper's method*. The paper's method *is* the workflow. The evaluation of the workflow's success is based on code correctness (human/inspector agent) and KPI deviation (comparison to FACTS). The 'evaluator-agent' is a component of the system being tested, not an external judge of the system's validity. Therefore, false. Efficiency: True, cost and time are reported in Table 5/7 captions. Statistical testing: True, Section 5.6 mentions '95% confidence intervals' and 'statistical testing' is suggested in the evaluator output (Fig 10/17) and validation criteria mention confidence intervals.
[v0.10.0 re-code] repeated_runs per case (Tables 5, 7); efficiency 'yes' (tokens, cost, run time in Table 5/7 captions); data 'partial' (Case B only).</t>
  </si>
  <si>
    <t xml:space="preserve">[R1] Section 4.1.3 describes three human-in-the-loop checkpoints that act on intermediate and final LLM outputs. The paper states: "Mandatory inspection of the initial simulation model... repairs it if necessary"; "Optional improvement suggestion. The human operator can add a suggestion"; "Mandatory check of results. The human operator verifies the interpretations made by the agent." Manual corrections were actually performed in experiments (Tables 5 and 7).
[R2] Section 4.1.3 explicitly describes a 'human-in-the-loop' mechanism. The text states: '1. Mandatory inspection of the initial simulation model... 2. Optional improvement suggestion... 3. Mandatory check of results.' This confirms humans act on intermediate outputs (model inspection, adding suggestions) and final outputs (checking results).</t>
  </si>
  <si>
    <t xml:space="preserve">approval-gate; what-if-interface; human-override</t>
  </si>
  <si>
    <t xml:space="preserve">[R1] approval-gate: the workflow prompts the operator to review and repair the generated model before execution, and the final results must be checked (Sec. 4.1.3; 4.3.2: "the user is prompted to manually review and adjust the model").
what-if-interface: the operator can add an extra improvement scenario via text, e.g. adding a third parallel press (Fig. 14: "Do you want to manually add one change to the model?").
human-override: the operator edits or repairs agent-generated models ("Manual correction" in Tables 5 and 7) and can evaluate or dismiss suggestions flagged by the CPD-agent (Sec. 4.3.3).
[R2] 1. 'approval-gate': Section 4.1.3 states 'Mandatory inspection of the initial simulation model... The human operator inspects if the initial model... is correct, and repairs it if necessary.' This is a workflow-initiated gate. 2. 'what-if-interface': Section 4.1.3 states 'Optional improvement suggestion. The human operator can add a suggestion... to enhance the exploration.' This is human-initiated scenario exploration. 3. 'human-override': Section 4.1.3 states the operator 'repairs it if necessary' and 'verifies the interpretations', allowing them to correct or veto LLM outputs.</t>
  </si>
  <si>
    <t xml:space="preserve">[R1] A predefined, generalized Python/SimPy blueprint model encodes production-system structure, including machine and buffer classes, merger/splitter logic, a failure distribution and KPI calculation. The builder-agent uses it as a one-shot template (Sec. 4.3.2, 5.1: "The blueprint model... provided the expected structure of a production model"). The generated SimPy simulation models are also executable mathematical/simulation models. The CPDs are text statements only, so they do not count as formalization.
[R2] Section 4.3.2 and 5.1 describe a 'blueprint model' which is a 'predefined, generalized blueprint template' used to guide the LLM. Section 5.1 states: 'The blueprint model... provided the expected structure of a production model and thus supported a one-shot adaptation'. This is an explicit, reusable, machine-readable structure (code template) encoding domain logic (SimPy classes, buffer/machine definitions).</t>
  </si>
  <si>
    <t xml:space="preserve">[R1] The paper defines a repeatable protocol: 21 experimental runs (10 on Case A, 11 on Case B). Each run is scored on code correctness, error type, KPIs, BT suggestions, CPD flagging, adaptation result and evaluation correctness (Tables 5 and 7, Fig. 18). Validation compares the first experiment of each case against manually built FACTS Analyzer models using TH, SEC and WIP, with 95% confidence intervals and a 5–10% acceptance threshold following Sargent (Sec. 4.4, 5.6).
[R2] Section 4.4 'Workflow validation' and Section 5.6 'Validating the workflow with simulation software' describe a systematic evaluation. They compare LLM-generated models against 'equivalent models built in FACTS Analyzer simulation software' (expert ground truth) using specific KPIs (TH, SEC, WIP) and statistical methods (95% confidence intervals, acceptable accuracy ranges of 5-10%). This constitutes a repeatable protocol with defined metrics and ground truth.</t>
  </si>
  <si>
    <t xml:space="preserve">information-analysis; decision-selection; action-implementation</t>
  </si>
  <si>
    <t xml:space="preserve">[R1] information-analysis: LLMs generate the simulation model, the bottleneck-agent generates improvement alternatives, and the CPD-agent checks constraints (Sec. 4.3.2–4.3.3).
decision-selection: the evaluator-agent compares scenarios and recommends a preferred configuration (Fig. 10: "Version 2 delivers the best combined improvement... preferred choice").
action-implementation: the adaptor-agent implements the suggested changes in the simulation model code (Sec. 4.3.3). This implementation happens only in the model; implementing changes in real production is out of scope (Fig. 1).
Input data analysis is done with static Python code rather than LLMs, so information-acquisition is not counted as LLM-automated.
[R2] 1. 'information-analysis': The LLM analyzes input data (event logs, parameters) to generate the simulation model structure (Section 4.3.2). 2. 'decision-selection': The 'bottleneck-agent' identifies bottlenecks and proposes improvement suggestions, and the 'evaluator-agent' compares results and recommends the best configuration (Section 4.3.3, 4.3.4). 3. 'action-implementation': The 'adaptor-agent' implements the suggested changes into the code, and the 'builder-agent' generates the executable code (Section 4.3.2, 4.3.3). Note: 'information-acquisition' is largely done via static Python scripts (Section 4.3.1), not the LLM, so it is excluded.</t>
  </si>
  <si>
    <t xml:space="preserve">2-recommendation</t>
  </si>
  <si>
    <t xml:space="preserve">[R1] The evaluator-agent recommends a preferred adapted model together with trade-offs, and the human decision-maker verifies and decides (Sec. 4.3.4: "present human decision-makers with actionable recommendations... The decision-maker then verifies the results and evaluates these trade-offs"). Real production changes are outside the system's scope.
[R2] The system generates options (improvement suggestions) and recommends the best one (evaluator-agent output: 'Version 2 delivers the best combined improvement... preferred choice'). However, the human operator must 'verify the results and evaluates these trade-offs' (Section 4.3.4) and 'Implement and evaluate changes in production' is outside the scope (Fig 1). The system does not autonomously implement the decision in the production system; it provides a recommendation for the human to decide on.</t>
  </si>
  <si>
    <t xml:space="preserve">[R1] Sec. 4.1–4.3 describe the workflow stages, the agent roles and the model assignment per agent (GPT-5.1, GPT-5-mini, GPT-4o). The paper also names the techniques used: one-shot with a blueprint, zero-shot adaptation and evaluator-optimizer loops. Human-in-the-loop checkpoints and V&amp;V procedure (Sec. 4.4) are specified. Appendices A–D give blueprint and prompt excerpts. Sec. 4: 'The full implementation of the LLM-to-simulation pipeline, including blueprints, LLM calls, prompts, Python scripts, and input data for Case B is available at Github.'
[R2] The paper provides a detailed description of the LLM-driven workflow, including specific agent roles (builder, inspector, adaptor, etc.), the specific LLM models used for each task (GPT-5.1, GPT-5-mini, GPT-4o), the techniques employed (one-shot, zero-shot, evaluator-optimizer), and the input data structure. It includes code excerpts (Appendix A-D) showing the blueprint model and generated code, as well as prompt examples (Appendix B). The validation method (comparison with FACTS Analyzer) is also clearly described. Section 4.3 details the step-by-step process.</t>
  </si>
  <si>
    <t xml:space="preserve">[R1] Category A/B. The study reports 21 experimental runs on two industrial cases (10 for Case A, 11 for Case B), with per-run results in Tables 5 and 7. Per-stage accuracy is summarized in Fig. 18. Cost, tokens and execution time are reported. Metrics TH, WIP and SEC are defined (Sec. 4.2). Validation used a comparator: models rebuilt in FACTS Analyzer, with deviations reported against a 5–10% threshold and 95% CIs (Sec. 4.4, 5.6). Minor caveats: Case B uses simplified mock-up data and fictitious CPDs, and the case systems are small.
[R2] The study presents two case studies (Case A and Case B) with specific metrics (Throughput, WIP, SEC). Results are reported with means and confidence intervals (e.g., '25 replications', 'relative error of 2%'). Tables 5 and 7 provide detailed results across multiple experimental runs, including error types and KPIs. Section 5.6 compares the LLM-generated models against a commercial simulation software (FACTS Analyzer) to validate accuracy, reporting deviations within acceptable thresholds (5-10%).</t>
  </si>
  <si>
    <t xml:space="preserve">[R1] Sec. 6.4 discusses several boundaries: the cases are simple ('generalizability of the proposed approach to more complex production scenarios remains to be validated'), there is no time-savings comparison against manual modeling, multi-agent setups were not evaluated, and hyperparameter sensitivity was not studied. It also notes poor C++/XML generation and manual data ingestion. Failure modes appear in Table 10 (hallucination mechanisms) and Sec. 5.5.
[R2] Section 6.4 explicitly discusses limitations, including the simplicity of the tested cases compared to complex real-world systems, output consistency issues, and the need for human oversight. It also discusses future research directions such as testing on more complex scenarios, comparing with manual modeling, and investigating autonomous AI systems. The paper acknowledges that generalizability to more complex production scenarios remains to be validated.</t>
  </si>
  <si>
    <t xml:space="preserve">[R1] Model version: the paper names GPT-4o, GPT-5-mini and GPT-5.1 but gives no snapshot or date identifiers, so not reported. Prompts: builder and adaptor prompts appear verbatim in Appendix B, and the paper states that all prompts and LLM calls are in the GitHub repo (github.com/thomasschmitt1993/LLM-DES-Modeling), so 'full'. Decoding parameters: Fig. 2 states 'All LLMs were executed using their default API parameters' with no explicit temperature, top_p or seed values, so false. Code: available on GitHub. Data: only Case B mock-up data is shared ('input data for Case B is available'); Case A industrial data is not, so false (partially available). Run date: only 'At the time of the experiments, GPT-5.1 was the best-performing' is given, with no explicit date or period.
[R2] Model versions: The paper specifies 'GPT-4o', 'GPT-5-mini', and 'GPT-5.1' but does not provide specific snapshot dates or version hashes (e.g., 'gpt-4o-2024-08-06'), so model_version_reported is false. Prompts: Appendix B provides examples of prompts for the builder and adaptor agents, but not all prompts for every agent (e.g., inspector, evaluator, CPD) are fully disclosed verbatim, so prompts_disclosed is 'partial'. Decoding params: The paper states 'All LLMs were executed using their default API parameters' (Section 4.3, Fig 2 caption) but does not list the specific values for temperature, top-p, etc., so decoding_params_reported is false. Code: A GitHub link is provided (https://github.com/thomasschmitt1993/LLM-DES-Modeling) and stated as available, so code_available is true. Data: The paper states 'input data for Case B is available at Github' (Section 4) and mentions sharing Case B-related data, so data_available is true. Run date: The paper does not specify the exact dates when the LLMs were queried, only that GPT-5.1 was the 'best-performing... at the time of the experiments', so run_date_reported is false.
[v0.10.0 re-code] repeated_runs per case (Tables 5, 7); efficiency 'yes' (tokens, cost, run time in Table 5/7 captions); data 'partial' (Case B only).</t>
  </si>
  <si>
    <t xml:space="preserve">A</t>
  </si>
  <si>
    <t xml:space="preserve">10.1016_j.mfglet.2025.10.017_retrieval_v2.json</t>
  </si>
  <si>
    <t xml:space="preserve">Designing an LLM-based copilot for manufacturing equipment selection</t>
  </si>
  <si>
    <t xml:space="preserve">10.1016/j.mfglet.2025.10.017</t>
  </si>
  <si>
    <t xml:space="preserve">Jonas Werheid; Oleksandr Melnychuk; Hans Zhou; Meike Huber; Christoph Rippe; Dominik Joosten; Zozan Keskin; Max Wittstamm; Sathya Subramani; Benny Drescher; Amon Göppert; Anas Abdelrazeq; Robert H. Schmitt</t>
  </si>
  <si>
    <t xml:space="preserve">Laboratory for Machine Tools and Production Engineering, WZL, RWTH Aachen University, Campus-Boulevard 30, Aachen 52074, Germany; INC Innovation Center GmbH, Frankenthaler Str. 20, Munich, Germany; Hong Kong Industrial Artificial Intelligence &amp; Robotics Centre (FLAIR), 78 Tat Chee Avenue, Hong Kong, China; Fraunhofer IPT, Steinbachstr. 17, Aachen 52074, Germany</t>
  </si>
  <si>
    <t xml:space="preserve">Germany</t>
  </si>
  <si>
    <t xml:space="preserve">2025</t>
  </si>
  <si>
    <t xml:space="preserve">Manufacturing Letters</t>
  </si>
  <si>
    <t xml:space="preserve">journal-q2</t>
  </si>
  <si>
    <t xml:space="preserve">[R1] The paper proposes a new RAG-LLM copilot (Section 2) and tests it with an industrial partner (Section 3, 'Industrial case-study'). Two automation engineers at a real manufacturer applied it to three internal ramp-up planning use-cases. The copilot's suggestions were compared against the partner's internal equipment selections. This is a naturalistic setting with real users and real data, so it is classified as evaluation-research. It also has strong solution-proposal traits, since the system itself is novel and the evaluation is modest in depth (?).
[R2] The paper proposes a system (LLM-based copilot) and evaluates it in an operational setting with real users. Section 3 ('Industrial case-study') states: 'The copilot... was presented to our industrial partner... Two automation engineers tested the system on three ramp-up planning use-cases'. This fits the definition of evaluation-research: 'Technique evaluated in practice (naturalistic setting: real organisation, real users, real data in operational use), incl. industrial case studies'.</t>
  </si>
  <si>
    <t xml:space="preserve">[R1] A working system was built and deployed: LangGraph, GPT-4o, ChromaDB, SQLite3 and a Gradio UI, hosted on Microsoft Azure (Section 2). It was evaluated in an industrial case study with quantitative outcome counts (Section 3): 'Among the 47 equipment prompts analyzed, three involved selecting the correct equipment type... In 24 instances, a sufficient component was chosen... the selected component was fully suitable in 20 cases'. The outcome categories (correct type, sufficient, fully suitable) work as defined metrics. However, the protocol is only loosely described and the evaluation is partly feedback-based, so it sits near the boundary with prototype (?).
[R2] The system is implemented (Section 3 details the tech stack: LangGraph, GPT-4o, Chroma, SQLite3, Gradio, Azure) and validated through a case study with quantitative metrics. Section 3 reports: 'Among the 47 equipment prompts analyzed... in 20 cases, all requirements were fully met.' This constitutes a working system evaluated under a defined protocol with defined metrics (success rate of requirement fulfillment).</t>
  </si>
  <si>
    <t xml:space="preserve">[R1] The decision concerns production equipment for assembly lines (Sec. 2, Sec. 3). It does not address procurement, distribution or sales. Supplier catalogs are used only as a data source.
[R2] The equipment selected (robots, feeders, vision) is for the production line/assembly process. Section 1 mentions 'production ramp-up' and 'production lines'. Section 3 mentions 'ramp-up planning use-cases' for products. This falls under the 'production' process of the SCP matrix.</t>
  </si>
  <si>
    <t xml:space="preserve">[R1] No numeric planning time horizon is stated anywhere in the paper. The only time quantities are operational parameters (e.g., '1-h buffer', '8 bushings every 40 s' in Table 1).
[R2] The paper does not explicitly state a time horizon (e.g., '5 years', 'long-term'). It discusses 'ramp-up time reduction' but does not define a strategic planning horizon value.</t>
  </si>
  <si>
    <t xml:space="preserve">[R1] The method supports deciding which equipment is installed in the assembly line, a system-configuring decision that determines what exists. Per schema rules this maps to Strategic, although in business terms it is line-level design for new product ramp-up. The paper contains no explicit horizon statement. No tactical or operational allocation or scheduling is supported.
[R2] The decision determines *what* equipment exists in the system (specific robots, feeders, cameras). This is a system-configuring decision. According to the schema, 'Strategic is selected iff system_configuring_decision is true'. The selection of capital equipment for a new product line is a strategic/tactical decision about the configuration of the production system. Given the options, 'Strategic' is the appropriate tier for determining the existence/configuration of major assets.</t>
  </si>
  <si>
    <t xml:space="preserve">[R1] The copilot selects the automation equipment (robots, feeders, vision systems) to be integrated into production lines, which determines what equipment exists in the system. Sec. 2: 'This leads to specific equipment within the chosen elementary operation category.' Sec. 3: 'the system was used to derive automation components for robots, feeders, and vision applications within the design process.'
[R2] The method outputs specific equipment models (e.g., 'Hudson Robotics PlateCrane EX', 'Epson Articulated arm robots') to be installed. This determines what exists in the production system. Section 3: 'The system was used to derive automation components...'. This is a decision about the configuration of the production line.</t>
  </si>
  <si>
    <t xml:space="preserve">[R1] The authors frame the work as automation design, i.e., configuring what exists. Sec. 1: 'Automation design, especially equipment selection, is critical in reducing ramp-up time'. Sec. 2/Abstract: the copilot is meant to 'guide automation equipment design effectively'. Sec. 3: 'derive automation components for robots, feeders, and vision applications within the design process.'
[R2] The authors state the system provides 'recommendations for automation equipment' (Abstract) and 'selecting the correct equipment' (Section 3). This implies configuring the system with these items. Quote: 'providing a guided and traceable state-machine process for decision-making in automation equipment selection' (Abstract).</t>
  </si>
  <si>
    <t xml:space="preserve">[R1] No planning-domain framework (VDI 5200, SC Planning Matrix, etc.) is used to structure the scope. The paper cites a multi-agent design pattern [27] and scientific books for equipment mapping [31], but neither is a planning framework.
[R2] The paper does not cite VDI 5200, SC Planning Matrix, or other specific strategic planning frameworks to structure its scope. It uses a 'state-machine architecture' and 'RAG' (Section 2), which are technical implementation details, not planning-domain theoretical frameworks. It references 'scientific literature' and 'lecture materials' as knowledge sources, but not a planning framework.</t>
  </si>
  <si>
    <t xml:space="preserve">[R1] The paper is a short applied system-design letter focused on LLM/RAG architecture for equipment selection. Its scope is structured by an equipment taxonomy (elementary operations and equipment categories, Table B.1) rather than by any planning reference model.
[R2] The paper relies on domain-specific knowledge (lecture slides, supplier catalogs) and LLM/RAG techniques, but does not apply a recognized strategic planning framework like VDI 5200 or the SC Planning Matrix to structure the planning scope.</t>
  </si>
  <si>
    <t xml:space="preserve">GPT-4o</t>
  </si>
  <si>
    <t xml:space="preserve">[R1] Section 2 states: "OpenAI's GPT-4o model [33] is employed as the LLM model and integrated with LangGraph via its API." The open-source all-MiniLM-L6-v2 (Hugging Face) is used only as the embedding model for ChromaDB chunk embeddings. It is a sentence-embedding model, not a generative LLM in the method, so it is not listed. No other LLMs are evaluated. LLMs mentioned in related work (Section 1) are not named specifically.
[R2] Section 3 explicitly states: 'OpenAI's GPT-4o model [33] is employed as the LLM model'. No other LLMs are used in the method; other models are only cited in related work or for embedding (all-MiniLM-L6-v2 is an embedding model, not the primary LLM for generation/reasoning in the agentic loop, though it is part of the RAG pipeline. The schema asks for LLMs deployed and evaluated with the method. GPT-4o is the primary LLM. The embedding model is a component of the RAG integration, not the 'LLM' in the sense of the generative agent, but often included in broad LLM system definitions. However, the prompt asks for 'LLMs deployed...'. GPT-4o is the clear answer. all-MiniLM-L6-v2 is a specific model used for embeddings. I will list GPT-4o as the primary LLM. If 'models' implies all neural models, I should consider the embedding model. However, standard practice in these schemas usually focuses on the generative LLM. I will stick to GPT-4o as the primary LLM agent. The embedding model is part of the RAG integration.</t>
  </si>
  <si>
    <t xml:space="preserve">[R1] GPT-4o is an OpenAI GPT model (Section 2).
[R2] The model used is GPT-4o, which belongs to the OpenAI GPT family (Section 3).</t>
  </si>
  <si>
    <t xml:space="preserve">[R1] GPT-4o is proprietary (OpenAI). The open-source embedding model is not an LLM in the models list.
[R2] GPT-4o is a proprietary model from OpenAI (Section 3). The embedding model all-MiniLM-L6-v2 is open-source, but the primary LLM is proprietary. The schema asks for the status of the models listed in 'models'. Since GPT-4o is the primary LLM, 'N' is appropriate. If 'mixed' is considered, it would be because of the embedding model. However, 'models' usually refers to the generative LLMs. I will mark as 'N' for the primary LLM, but note the embedding model in reasoning if necessary. Actually, the schema says 'Whether the weights of the models listed in models are openly available'. If I only list GPT-4o, it is N. If I list both, it is mixed. The prompt says 'Exact name(s) ... of only those LLMs deployed'. Embedding models are often considered part of the LLM stack. Let's look at the definition: 'LLM/AI intervention details'. I will list GPT-4o. The embedding model is a specific component of RAG. I will classify the primary LLM as N.</t>
  </si>
  <si>
    <t xml:space="preserve">[R1] Section 2: GPT-4o is "integrated with LangGraph via its API". The figure legend also reads "connected to LLM to API". The application itself is hosted on Microsoft Azure, but the model is accessed through the provider API.
[R2] Section 3 states: 'OpenAI's GPT-4o model [33] is employed as the LLM model and integrated with LangGraph via its API.' The system is hosted on Microsoft Azure, but the LLM itself is accessed via API.</t>
  </si>
  <si>
    <t xml:space="preserve">[R1] Inputs are textual requirement prompts and context (Table 1) plus retrieved Markdown text chunks and relational records. No image input is described.
[R2] The system processes text inputs (user prompts, requirements) and text outputs (recommendations). The knowledge bases contain text chunks (Markdown) and structured data. No image or multimodal input is described for the LLM interaction (Section 2, 3).</t>
  </si>
  <si>
    <t xml:space="preserve">[R1] The paper describes no weight updates. Domain knowledge is supplied via RAG and a relational database (Section 2).
[R2] The paper describes a RAG-based system using pre-prompting and retrieval. There is no mention of fine-tuning, LoRA, or weight updates for the LLM (Section 2, 3).</t>
  </si>
  <si>
    <t xml:space="preserve">supervisor-agent</t>
  </si>
  <si>
    <t xml:space="preserve">[R1] Section 2 and Fig. 1 describe a "primary orchestration agent" that orchestrates subcomponents via conditional edges "based on Agent decision". These subcomponents are the equipment selection agent, the structured and semi-structured knowledge systems, and the answer generator. The orchestrator "advances to the answer generator only when all requirements have been fulfilled. If requirements are not yet met, it continues to obtain additional information from the relevant subcomponents." This is a hierarchy with a supervisor routing work to sub-agents. The equipment selection sub-agent internally follows a fixed developer-defined pipeline with an evaluation loop.
[R2] Section 2 states: 'At its core is the primary orchestration agent, which orchestrates subcomponents based on the multi-agent design pattern... These include the equipment selection agent... and the answer generator.' This describes a supervisor (orchestrator) routing work to sub-agents/components. The state machine diagram (Fig 1) shows the orchestration agent directing flow to other LLM-based agents.</t>
  </si>
  <si>
    <t xml:space="preserve">short-term</t>
  </si>
  <si>
    <t xml:space="preserve">[R1] Memory: the system is a LangGraph state machine with a chat interface (Gradio visualizes the chat and the states), giving working state within a session. No persistent cross-session memory is described; the knowledge bases are static stores, not learned experience. Planning/reflection: in the "evaluate selection" step "the LLM reflects the suitability of the decision to alleviate Hallucination" and triggers re-selection (Section 2). Tool use: the orchestration agent decides via conditional edges which knowledge systems or sub-agents to call at run time. This is coded as true with moderate uncertainty (?), since the decision is implemented as LangGraph conditional routing rather than explicit function calling.
[R2] Agent Memory: The system maintains state within the session (state machine, conversation context) but no long-term persistent memory across sessions is described. Planning/Reflection: Section 2 explicitly mentions an 'evaluation selection step, where the LLM reflects the suitability of the decision'. Tool Use: The LLM agents interact with external knowledge systems (RAG, SQL) via the orchestration framework, which implies tool/function calling capabilities to retrieve data (Section 2, Fig 1).</t>
  </si>
  <si>
    <t xml:space="preserve">RAG; database-SQL</t>
  </si>
  <si>
    <t xml:space="preserve">[R1] RAG: the semi-structured knowledge system embeds Markdown chunks from lecture slides and dissertations (chunk size 750, overlap 150) in a Chroma vector database using all-MiniLM-L6-v2 and retrieves the top-3 chunks by dot-product similarity (Section 2). database-SQL: the structured knowledge system uses SQLite3 to map specific equipment to its attributes, linked to supplier catalogs and exposed via the Django REST Framework API (Section 2, Fig. 1).
[R2] Section 2 and 3 explicitly describe a 'semi-structured knowledge system' using RAG with ChromaDB (vector database) and a 'structured knowledge system' using SQLite3 (relational database). The LLM retrieves from both. Section 3 confirms: 'Chroma [35] is used as a vector database... SQLite3 is selected to provide the structured knowledge.'</t>
  </si>
  <si>
    <t xml:space="preserve">[R1] The copilot (Section 2) is a LangGraph state machine. GPT-4o selects equipment through RAG retrieval (ChromaDB, all-MiniLM-L6-v2 embeddings) and structured lookups (SQLite3), then uses LLM self-reflection to evaluate the selection. The paper formulates no mathematical program, objective function, metaheuristic, RL, MCDM ranking or solver call. Equipment selection is a decision-support task, but it is done by LLM reasoning over retrieved knowledge, not by formal optimization. 'Optimization' appears only in the literature search string (Appendix A). Discrete-event simulation for comparing equipment options is mentioned only as future work (Section 4).
[R2] The paper describes a decision-support system (copilot) for equipment selection using LLMs and RAG. It does not formulate or solve an optimization problem (e.g., MILP, metaheuristic, MCDM). The process is described as a 'state-machine process' and 'guided... decision-making' based on retrieval and LLM reasoning, not mathematical optimization. Section 2 states: 'providing a guided and traceable state-machine process for decision-making'. Section 4 mentions future work on 'discrete-event simulation' but the current method does not perform optimization.</t>
  </si>
  <si>
    <t xml:space="preserve">[R1] No optimization tradition is present. Requirements are interpreted informally by the LLM through pre-prompts, and no formal objectives or constraints are stated.
[R2] Since no optimization tradition is present, the formalization level is none. The system uses heuristic rules and LLM inference rather than a formal optimization model.</t>
  </si>
  <si>
    <t xml:space="preserve">[R1] None: the method uses no optimization paradigm. Simulation-based evaluation of equipment options is proposed only as future work (Section 4).
[R2] No optimization paradigm is used in the proposed method. The system relies on retrieval-augmented generation and LLM-based reasoning.</t>
  </si>
  <si>
    <t xml:space="preserve">[R1] The method contains no optimizer. The LLM acts as orchestrator, selector and self-reflective evaluator over the knowledge bases, not in relation to an OR solver. The 'evaluate selection' reflection step checks the LLM's own choice, not an optimization model or solution, so 'verifier' does not apply.
[R2] The LLM acts as a reasoning engine and orchestrator for a decision-support workflow, but there is no underlying optimizer (solver) that the LLM interacts with in the sense of the defined roles (formulator, direct-optimizer, etc.). The LLM generates recommendations based on retrieved knowledge, which is a decision-support task, not an optimization task in the OR sense defined by the schema.</t>
  </si>
  <si>
    <t xml:space="preserve">[R1] No optimization solver is reported. The tools used are GPT-4o, LangGraph, Chroma, SQLite3, Django REST Framework, Gradio and Azure (Section 2).
[R2] No optimization solver (e.g., Gurobi, CPLEX) is mentioned or used. The system uses databases (SQLite3, ChromaDB) and an LLM API (GPT-4o).</t>
  </si>
  <si>
    <t xml:space="preserve">[R1] The evaluation used real automation engineers from a real manufacturer on real internal ramp-up use-cases with operational requirements (Section 3). The comparison against the partner's internal selections was somewhat retrospective, but the users, problem and organisation were real.
[R2] The evaluation was conducted by an 'industrial partner' (real organization) using 'internal use-cases' (real problems) with 'automation engineers' (real users). This fits the definition of naturalistic evaluation (real users, real problem, real organisation/system) as opposed to artificial/lab settings.</t>
  </si>
  <si>
    <t xml:space="preserve">[R1] All values come from Section 3 and the Abstract. The paper does not state whether the categories (3/24/20) are mutually exclusive; 3+24+20=47 suggests they are ('?'). Configuration parameters (chunk size 750, overlap 150, top-3 retrieval) and literature search counts are not evaluation metrics and are excluded.
[R2] Metrics are extracted from Section 3 and the Abstract. The paper reports counts of success/failure categories out of 47 total prompts. No percentage or statistical significance is reported, only raw counts.</t>
  </si>
  <si>
    <t xml:space="preserve">[R1] Testing was done by two automation engineers of the industrial project partner (Section 3). No third-party or blind external evaluation is described.
[R2] The evaluation was performed by 'Two automation engineers' from the 'industrial partner'. The schema definition states: 'Partner employees testing the system under the authors' protocol do not count.' Therefore, this is not independent evaluation in the strict sense defined by the schema.</t>
  </si>
  <si>
    <t xml:space="preserve">no</t>
  </si>
  <si>
    <t xml:space="preserve">[R1] No repeated runs per prompt are reported. The LLM reflection step in 'evaluate selection' is part of the method, not evaluation; outputs were judged against the partner's selections, so llm_as_judge is false. No cost, latency or token metrics are given. No statistical tests or confidence intervals are reported.
[R2] The paper does not report on repeated runs to capture variability (Section 3 describes a single pass of analysis). It does not use an LLM to judge the outputs (humans compared against internal selection). No cost, latency, or token usage metrics are reported. No statistical tests (p-values, confidence intervals) are mentioned.
[v0.10.0 re-code] efficiency 'no'; data 'partial': Table 1 reproduces example prompts from the confidential 47-prompt evaluation set (excerpts).</t>
  </si>
  <si>
    <t xml:space="preserve">[R1] Section 2: after the LLM's self-evaluation step, the system asks the user for more information when the selection is unsuitable: "In case of an unsuitable selection, additional information about the decision is requested from the user to enhance a further iteration of the equipment selection process based on the reflection." The user therefore answers a system request in the middle of the workflow. The orchestrator also "continues to obtain additional information" until requirements are met.
[R2] Section 2 states: 'In case of an unsuitable selection, additional information about the decision is requested from the user to enhance a further iteration of the equipment selection process based on the reflection, restarting the selection of the elementary operation.' This indicates the system pauses to request human input when requirements are not met or selection is unsuitable.</t>
  </si>
  <si>
    <t xml:space="preserve">[R1] Section 2: "The structured knowledge system maps specific equipment such as feeders, robots, and vision systems to their corresponding attributes in a relational format. It is linked to product- and equipment catalogs... The mapping is done based on scientific books." SQLite3 provides this structured knowledge. Table B.1 gives an equipment category/type taxonomy. The ChromaDB RAG corpus on its own would not count.
[R2] Section 2 describes a 'structured knowledge system' that 'maps specific equipment... to their corresponding attributes in a relational format' and is implemented using 'SQLite3'. It also mentions a 'semi-structured knowledge system' using RAG with ChromaDB. The relational database with mapped attributes constitutes explicit, machine-readable domain knowledge formalization.</t>
  </si>
  <si>
    <t xml:space="preserve">[R1] Section 3: two automation engineers tested the system on three ramp-up use-cases with 47 equipment prompts. Copilot suggestions were "compared against the internal selection", and outcomes were categorized into levels: correct type but wrong subtype (3), sufficient component meeting most requirements (24), fully suitable meeting all requirements (20). The procedure is only briefly described, so whether this counts as a fully repeatable protocol is uncertain (?).
[R2] Section 3 describes an 'Industrial case-study' where the system was tested on 'three ramp-up planning use-cases'. It reports quantitative results: 'Among the 47 equipment prompts analyzed... 24 involved selecting the correct equipment... and in 20 cases, all requirements were fully met.' This constitutes a defined test set (47 prompts) and scoring criteria (correct type, correct subtype, all requirements met).</t>
  </si>
  <si>
    <t xml:space="preserve">[R1] Section 2 covers three stages. Information acquisition: the system retrieves from SQLite3 and ChromaDB (top three chunks). Information analysis: it analyses inputs and structures and groups the requirements. Decision selection: it selects the elementary operation, the equipment type and the specific equipment, then evaluates the selection. It does not implement the decision in any plan or system.
[R2] Information-acquisition: The system retrieves data from relational and semi-structured knowledge bases (Section 2). Information-analysis: The LLM interprets requirements, structures them, and determines elementary operations (Section 2). Decision-selection: The system selects specific equipment types and evaluates suitability (Section 2). It does not perform action-implementation (e.g., ordering or configuring the physical machine), as it is a selection copilot.</t>
  </si>
  <si>
    <t xml:space="preserve">[R1] The copilot recommends specific equipment (e.g., "bowl feeder ZSB-N 250-30-110 by RNA"), and the engineers use these as suggestions within the design process. The abstract describes "logical and actionable recommendations". There is no automatic implementation.
[R2] The system provides 'logical and actionable recommendations' (Abstract) and 'suggestions' (Section 3). The human engineer reviews these and makes the final decision. The system does not autonomously implement the selection or veto human choices; it supports the decision-making process. Section 3: 'The components suggested by the copilot were compared against the internal selection.' This implies the human makes the final call.</t>
  </si>
  <si>
    <t xml:space="preserve">[R1] This is a demonstration case study (category B). Section 3: two automation engineers at an industrial partner tested the system on three use cases, with 47 equipment prompts compared against the partner's internal selection (3 correct type only, 24 sufficient, 20 fully suitable). The core claims are exercised. However:
- Evaluation criteria are loosely defined.
- There is no baseline comparison, e.g. against plain GPT-4o.
- Most prompts are confidential ("not all prompts can be shown").
- Table 1 examples show copilot suggestions that diverge from the partner's choices (e.g., the feeder case suggests a PlateCrane), which is not discussed critically.
[R2] The study is a design science/case study (Category B). The artifact is demonstrated on three internal use-cases by an industrial partner (Section 3). Results are reported qualitatively and with counts (47 prompts, 24 sufficient, 20 fully suitable). However, there is no statistical analysis, no variance reporting, and no external comparator beyond the partner's internal selection (which is mentioned in Table 1 but not systematically compared in a statistical sense). The grounding is limited to a single partner and a small sample size (47 prompts), lacking broader empirical validation.</t>
  </si>
  <si>
    <t xml:space="preserve">[R1] Model: "OpenAI's GPT-4o model" is named without a snapshot date, so model_version_reported is false. The embedding model all-MiniLM-L6-v2 is named.
Prompts: system pre-prompts are not disclosed. Table 1 gives example user context prompts (partial), and others are confidential, so prompts_disclosed is partial.
Decoding: no temperature or other decoding parameters are reported.
Code: Section 5 states "The software will be made available on request", which is not public availability, so code_available is false.
Data: the evaluation data are confidential company prompts, so data_available is false.
Run date: no query dates are reported.
[R2] Model Version: 'GPT-4o' is mentioned (Section 3), but no specific snapshot/date (e.g., gpt-4o-2024-08-06) is provided. Prompts: Table 1 provides examples of input prompts, but the internal system prompts/pre-prompts are not fully disclosed verbatim, only described ('pre-prompt that describes them'). Decoding Params: No temperature, top-p, or max tokens are mentioned. Code: Section 5 states 'The software will be made available on request', which is not public availability. Data: The evaluation data (47 prompts) are not publicly released; only examples are shown in Table 1, and some are withheld due to confidentiality. Run Date: The paper was accepted in Oct 2025, but the specific dates of the model queries during the case study are not reported.
[v0.10.0 re-code] efficiency 'no'; data 'partial': Table 1 reproduces example prompts from the confidential 47-prompt evaluation set (excerpts).</t>
  </si>
  <si>
    <t xml:space="preserve">10.1080_0951192X.2025.2482258_retrieval_v2.json</t>
  </si>
  <si>
    <t xml:space="preserve">Shopfloor layout generation method based on large language models</t>
  </si>
  <si>
    <t xml:space="preserve">10.1080/0951192X.2025.2482258</t>
  </si>
  <si>
    <t xml:space="preserve">Yi Hu; Yicheng Sun; Xiaojian Wen; Sen Wang; Jinsong Bao</t>
  </si>
  <si>
    <t xml:space="preserve">College of Mechanical Engineering, Donghua University, Shanghai, China; Informatization Institute, Shanghai Baosight Software Limited Company, Shanghai, China</t>
  </si>
  <si>
    <t xml:space="preserve">China</t>
  </si>
  <si>
    <t xml:space="preserve">International Journal of Computer Integrated Manufacturing</t>
  </si>
  <si>
    <t xml:space="preserve">[R1] The paper proposes a novel prompt-engineering method for shopfloor layout generation: structured JSON semantic representation, equipment models, RAG-based prompt templates and a think-generate-evaluate iteration (Sec. 3). It evaluates the method in a lab/experimental setting rather than in operational practice. Evidence: a custom Q&amp;A dataset comparing four LLMs (Sec. 4.1, Table 1, Fig. 11); comparison against a CoT baseline on I-, L- and U-shaped layouts with 8/10/15 elements (Sec. 4.2, Table 2); an ablation study (Table 3). The case study is described as 'a small discrete manufacturing shopfloor', but there is no evidence of deployment in real operational use. This points to validation-research rather than evaluation-research.
[R2] The paper proposes a novel method for shopfloor layout generation using LLMs and validates it through controlled experiments. Section 4.1 describes the construction of a specialized Q&amp;A dataset to test LLM capabilities in a lab setting. Section 4.2 presents 'Method validation' using a case study with defined metrics (space utilization, compliance, constraint satisfaction) and compares the proposed method against a Chain-of-Thought (COT) baseline. The evaluation is conducted on specific test cases (discrete manufacturing scenarios) rather than in an operational industrial setting over time, fitting the definition of validation-research (novel technique evaluated in the lab/artificial setting).</t>
  </si>
  <si>
    <t xml:space="preserve">[R1] A working system was implemented and evaluated with defined metrics. Implementation: Mixtral 8x7B was deployed locally (temperature 0.5), with a JSON parser and a THREEJS 3D scene renderer (Sec. 3.1, 4.2). Evaluation used quantitative metrics: space utilization, compliance, layout-requirement accuracy, and comprehensive/relationship constraint satisfaction, compared against a CoT baseline (Table 2), plus an ablation (Table 3) and an accuracy benchmark across four LLMs (Fig. 11). Anchor: 'this paper used the Chain-of-Thought (COT) method as a baseline for comparison experiments.' Caveat: some evaluation involved manual/expert judgment, and the dataset is not public.
[R2] The system is implemented (using Mixtral 8x7B locally, with a defined prompt engineering framework and RAG pipeline) and validated with defined metrics. Section 4.2 explicitly states: 'To evaluate the quality of the layout plans, this paper compared them using the following metrics... completeness and compliance indicators... Space utilization... constraint conditions'. Table 2 and Table 3 provide quantitative results comparing the proposed method to baselines and ablation studies, confirming a working system evaluated under a defined protocol.</t>
  </si>
  <si>
    <t xml:space="preserve">[R1] No explicit research questions are stated. The introduction gives aims only, e.g. to 'refine and decompose the complex problem of shopfloor layout by leveraging... large language models' and to 'explore the effects of different dimensional problems on the generation results of LLMs' (Sec. 1).
[R2] The paper does not explicitly list numbered Research Questions (RQs). Instead, it states its aims in the Introduction (Section 1): 'This paper aims to refine and decompose the complex problem of shopfloor layout by leveraging the integrative and creative potential of large language models...' and 'This paper constructed a specialized Q&amp;A dataset to evaluate the boundaries and potential of large language models in the field of shopfloor layout.' While the objectives are clear, they are not formatted as formal RQs.</t>
  </si>
  <si>
    <t xml:space="preserve">[R1] The paper addresses shopfloor (workshop) layout design in discrete manufacturing using LLMs (Abstract; Sec. 1; Sec. 3.2.1: 'determine the positioning and arrangement of these elements'). Per Appendix A, facility/factory layout planning maps to factory-planning. No supply chain, network, site-selection or technology-selection aspects are addressed.
[R2] The paper explicitly focuses on 'shopfloor layout generation' and 'factory layout planning'. Section 1 states: 'good shopfloor layout design has become one of the key factors...'. Section 3.1 discusses 'Semantic representation of shopfloor'. This aligns with the 'factory-planning' subdomain defined as 'Factory planning per VDI 5200' or general facility layout.</t>
  </si>
  <si>
    <t xml:space="preserve">factory-layout-planning</t>
  </si>
  <si>
    <t xml:space="preserve">[R1] The core task is generating shopfloor layouts: equipment coordinates and arrangement under boundary and relational constraints, in I-, L- and U-shaped patterns (Sec. 3.2.1, Sec. 4.2, Table 2). Several elements are side aspects rather than separate planning tasks: the 3D visualization via THREE.js (Sec. 3.1), the spatial-reasoning Q&amp;A benchmark (Sec. 4.1), and the evaluation metric 'space utilization'. They do not constitute simulation-modeling or capacity-dimensioning. The equipment set is given, so no dimensioning is performed.
[R2] The core contribution is a method for 'Shopfloor layout generation' (Title, Abstract). Section 3.2.1 defines the task as determining 'positioning and arrangement of these elements'. This maps directly to 'factory-layout-planning'.</t>
  </si>
  <si>
    <t xml:space="preserve">[R1] The layout concerns production shopfloors and production lines with CNC lathes, milling machines, drills and inspection tables (Sec. 4.2). It therefore falls under the production process of the SCP Matrix.
[R2] The layout concerns the arrangement of production equipment (CNC lathes, milling machines) within a manufacturing shopfloor. Section 4.2 mentions 'discrete manufacturing shopfloor' and 'production line'. This falls under the 'production' process in the SCP matrix.</t>
  </si>
  <si>
    <t xml:space="preserve">[R1] No time horizon (e.g., years) is stated anywhere in the paper.
[R2] The paper does not specify a time horizon (e.g., '5 years', 'long-term'). It focuses on the method of generating layouts for current or hypothetical scenarios without defining a temporal planning horizon.</t>
  </si>
  <si>
    <t xml:space="preserve">[R1] No horizon statements are given. The method produces the physical arrangement of equipment and production lines in a shopfloor (Sec. 3.2.1), i.e., a facility design/configuration decision, and is coded Strategic. This is uncertain ('?'): the set of equipment is preset ('a given layout space with a series of preset layout elements'). The authors also target frequent re-layouts ('enterprises that frequently need to adjust production lines or equipment layouts', Sec. 4.2), which could be argued as mid-term. The decision is still about the physical configuration, not the usage of resources.
[R2] The method determines the physical arrangement and configuration of equipment in the shopfloor. This is a system-configuring decision (what exists and where it is placed), which aligns with the Strategic tier in the context of factory planning (designing the facility structure). It is not tactical (allocating existing resources) or operational (scheduling).</t>
  </si>
  <si>
    <t xml:space="preserve">[R1] The method determines the physical positions and arrangement of equipment and production lines in the shopfloor, i.e., the spatial configuration of the production system. Anchor (Sec. 3.2.1): 'The objective is to determine the positioning and arrangement of these elements'. Uncertainty ('?'): equipment types and quantities are given inputs, so no equipment is created or removed; only the layout configuration is decided.
[R2] The method determines the 'positioning and arrangement' of equipment (Section 3.2.1). This defines the physical configuration of the production system (what equipment is where). Section 4.2 discusses generating 'layout schemes' which define the facility structure.</t>
  </si>
  <si>
    <t xml:space="preserve">[R1] Sec. 3.2.1: 'Essentially, shopfloor layout is a three-dimensional space design challenge'. Abstract: 'Traditional shopfloor layout design faces limitations...'. The authors frame the task as design of the shopfloor layout, although they do not explicitly say 'system configuration'.
[R2] Section 1: 'good shopfloor layout design has become one of the key factors in improving production efficiency...'. Section 3.2.1: 'The objective is to determine the positioning and arrangement of these elements...'. This explicitly frames the task as designing/configuring the layout.</t>
  </si>
  <si>
    <t xml:space="preserve">[R1] Inputs are textual prompts with JSON-structured equipment information and a coordinate description; outputs are JSON layouts (Sections 3.1–3.3). No images are fed to the LLM.
[R2] The input to the LLM consists of structured text descriptions, JSON-like data structures for equipment and constraints, and prompt templates (Section 3.1, 3.2). The output is also text/JSON representing coordinates and layout parameters. No images or other modalities are fed into the LLM for the layout generation task itself (3D visualization is a post-processing step using THREEJS, not an LLM input).</t>
  </si>
  <si>
    <t xml:space="preserve">[R1] The Discussion states the method 'mainly utilizes the generalized capability of the large language model without deeper downstream task adaptation training'. Fine-tuning is mentioned only as future work.
[R2] Section 5 (Discussion) states: 'the method in this paper mainly utilizes the generalized capability of the large language model without deeper downstream task adaptation training.' It mentions fine-tuning as future work. The method relies on prompt engineering and RAG.</t>
  </si>
  <si>
    <t xml:space="preserve">[R1] The method uses a developer-defined fixed cycle of thinking → generation → evaluation, with human decision-making in evaluation and a decreasing task queue as the stopping condition (Section 3.3, Figure 9). The thinking step makes a run-time decision on whether to re-retrieve, which hints at single-agent behaviour (?). However, the outer control structure is a fixed iterative sequence, so it is coded as pipeline. Multi-agent systems are mentioned only as future work.
[R2] The system follows a fixed, developer-defined sequence: Task Description -&gt; RAG Retrieval -&gt; Thinking -&gt; Generation -&gt; Evaluation -&gt; (Loop or End). This is a pipeline of specialized steps (retrieval, reasoning, generation, evaluation) rather than a single autonomous agent deciding its own next action dynamically in an open-ended way, nor a multi-agent system. The 'think-generate-evaluate' loop is a fixed workflow pattern.</t>
  </si>
  <si>
    <t xml:space="preserve">[R1] Memory: a task queue and iteration state are kept within one layout session; there is no persistent cross-task memory. Planning/reflection: the thinking step assesses whether information is sufficient, and the evaluation step has the LLM assess whether the generated layout meets the pattern and constraints and pinpoint issues (Figure 9). Tool use: in the thinking step the LLM identifies the missing knowledge, and the system then 're-initiates the information retrieval process' (Section 3.3; Figure 9 'Action: Retrieve relevant information'). This is an LLM-driven decision to retrieve, coded true with some uncertainty (?), since the retrieval itself may be system-executed.
[R2] Agent Memory: The system maintains context within the iterative loop (short-term) to refine the layout based on previous evaluations. It does not mention persistent long-term memory across different tasks. Planning/Reflection: The 'Thinking' stage explicitly assesses information completeness and plans the next step, and the 'Evaluation' stage reflects on the generated output to identify issues. Tool Use: The LLM does not dynamically decide to call external tools at runtime; the RAG retrieval is a fixed step in the pipeline triggered by the workflow, not a tool call decided by the LLM agent in the sense of Toolformer/ReAct where the LLM outputs a tool call instruction. The RAG is part of the fixed pipeline architecture.</t>
  </si>
  <si>
    <t xml:space="preserve">RAG</t>
  </si>
  <si>
    <t xml:space="preserve">[R1] Section 3.3 describes retrieval of equipment knowledge via Word2vec embeddings and cosine similarity, top-k chunks, explicitly within a RAG framework. The JSON-to-3D conversion (parser, GLTF model database, THREEJS, DTDL-style ids) is post-processing visualization not called by the LLM, so digital-twin and database integrations are not coded.
[R2] Section 3.3 explicitly states: 'This indexed information is then added to the prompt template... In the retrieval process, Word2vec technology was used... These operations are standard practices within the Retrieval-Augmented Generation (RAG) framework'. The system retrieves relevant knowledge from a dataset to augment the prompt.</t>
  </si>
  <si>
    <t xml:space="preserve">[R1] No optimization solver is reported. The layouts are generated by Mixtral 8x7B (temperature 0.5, locally deployed); GPT-3.5, GPT-4 and ChatGLM3-6B were evaluated only on the spatial Q&amp;A dataset (Sec. 4.1-4.2).
[R2] No external optimization solver (e.g., Gurobi, CPLEX) is used in the proposed method. The 'solver' is the LLM itself (Mixtral 8x7B, GPT-4, etc.).</t>
  </si>
  <si>
    <t xml:space="preserve">test-set; single-case; quasi-experimental</t>
  </si>
  <si>
    <t xml:space="preserve">[R1] Three evaluation settings are used. (1) Test-set: an author-built Q&amp;A dataset of 340 questions (57+85+107+91) across four spatial-reasoning categories was used to test GPT-4, GPT-3.5, Mixtral 8x7B and ChatGLM3-6B. Answers were scored by rule-based coordinate extraction plus manual checks (Sec. 4.1, Table 1, Fig. 11). (2) Single-case: the method was applied to one small discrete manufacturing shopfloor with CNC lathes, CNC milling machines, drilling machines and inspection tables, on one production line, using I/L/U-shaped layout patterns (Sec. 4.2, Fig. 12). (3) Quasi-experimental: a controlled comparison against a CoT baseline on the same tasks at 8/10/15 elements (Table 2), plus a module ablation (Table 3) (Sec. 4.2).
[R2] The paper uses a constructed Q&amp;A dataset to test LLM spatial reasoning capabilities (test-set, §4.1). It applies the method to a specific discrete manufacturing shopfloor scenario with three layout patterns (single-case, §4.2). It compares the proposed method against a Chain-of-Thought (CoT) baseline and performs ablation studies on modules (quasi-experimental, §4.2, Table 2, Table 3).</t>
  </si>
  <si>
    <t xml:space="preserve">[R1] All evaluation is artificial. The Q&amp;A test set and the case layout generation were run by the researchers, and results were rendered in 3D with THREE.js. The source data came from enterprise documents, but there was no deployment with real users and no use of generated layouts in an operational shopfloor (Sec. 4.1-4.2).
[R2] The evaluation is conducted on a constructed Q&amp;A dataset and a simulated shopfloor case study using enterprise data, but not in a live operational environment with real users making decisions. The case study is described as a 'small discrete manufacturing shopfloor' case study, but the validation is computational/simulated via LLM generation and metric scoring, fitting the 'artificial' paradigm (lab/test set/illustrative case) rather than 'naturalistic' (real users, real organization in operational use).</t>
  </si>
  <si>
    <t xml:space="preserve">prior-AI-ML</t>
  </si>
  <si>
    <t xml:space="preserve">[R1] A Chain-of-Thought (CoT) prompting baseline, run on Mixtral 8x7B with up to 10 reasoning rounds and expert guidance, was compared with the proposed method (Sec. 4.2, Table 2). The comparison of four LLM backbones on the Q&amp;A set and the ablation study do not count as comparators. The authors explicitly state that traditional optimization methods are not directly comparable, so no conventional-method comparator was used.
[R2] The paper compares the proposed method against a Chain-of-Thought (CoT) prompting baseline using the same LLM (Mixtral 8x7B) in Section 4.2 and Table 2. CoT is a prompting strategy/LLM method, fitting 'prior-AI-ML'. No human planners or conventional non-AI solvers (like genetic algorithms) are used as direct comparators in the results tables, though they are mentioned in related work.</t>
  </si>
  <si>
    <t xml:space="preserve">[R1] Evaluation used rule-based checks plus manual evaluation by the authors' team. Expert review was applied to dataset construction, and experts guided the CoT baseline. Nothing indicates that external, independent evaluators judged the outputs.
[R2] The evaluation is conducted by the authors. The Q&amp;A dataset was designed by 'professional team members' (likely the authors or their collaborators at Donghua University/Baosight). The case study validation and metric scoring are performed by the research team. There is no mention of third-party independent evaluators or blind testing by external experts.</t>
  </si>
  <si>
    <t xml:space="preserve">[R1] The number of repeated runs per item is not reported; temperature was fixed at 0.5. The method's internal 'evaluation' step uses LLM assessment combined with human decision-making inside the generation loop (Fig. 9), but the reported results were scored by rule-based plus manual evaluation, so llm_as_judge is false (borderline). No cost, latency or token metrics are reported. No significance tests or confidence intervals are reported.
[R2] Repeated runs: Not explicitly stated how many times each test was run to average out LLM variability, though 'temperature parameter fixed at 0.5' is mentioned. LLM as judge: The evaluation uses rule-based extraction of coordinates and manual evaluation by experts, not an LLM judging the output. Efficiency metrics: Token counts are reported in Table 1 for the dataset (Avg Q/A tokens), but not as a performance metric for the system's efficiency (e.g., cost/time per layout generation). Statistical testing: No p-values, confidence intervals, or significance tests are reported in the tables or text.
[v0.10.0 re-code] efficiency 'no' (Table 1 token counts describe the Q&amp;A dataset, not system efficiency); data 'none' – check PDF for printed test items.</t>
  </si>
  <si>
    <t xml:space="preserve">[R1] Section 3.3: the evaluation step combines LLM assessment with human decisions: "The evaluation part is to evaluate the LLMs of the generated layout and make manual decisions, and conduct a comprehensive evaluation of the generated layout and guidance for necessary adjustments." Figure 9 shows "Decision-making + LLMs Assessment". Section 5 adds that the method relies on "the need for expert involvement during generation".
[R2] The paper explicitly describes an iterative cycle of 'think-generate-evaluate' where the evaluation step involves human judgment. Section 3.3 states: 'The evaluation part is to evaluate the LLMs of the generated layout and make manual decisions, and conduct a comprehensive evaluation of the generated layout and guidance for necessary adjustments.' Additionally, Section 4.2 mentions that for the COT baseline, 'experts who are familiar with the prompt engineering... continue to give appropriate layout knowledge and prompts for guidance'. This indicates humans are actively involved in reviewing outputs and steering the process.</t>
  </si>
  <si>
    <t xml:space="preserve">[R1] Section 3.1 defines an information metamodel as a UML class diagram (Fig. 1). It specifies classes Shopfloor, Production line unit, Equipment, Basic Information, Geometric Information, Relationship constraints, Comprehensive constraints and Restricted Configurations. It is instantiated as JSON (Fig. 2) and checked by a parser. Section 3.2.2 adds equipment models: mathematical, text information and constraint models. Section 3.2.3 defines knowledge units of elements E and relations R, which are retrieved via RAG.
[R2] The paper proposes a 'semantic representation of shopfloor based on information metamodel' (Section 3.1). It defines a structured format using JSON to represent shopfloor levels, production lines, and equipment with specific attributes (uuid, position, width, length, constraints). This is an explicit, machine-readable structure used to feed the LLM, distinct from free-text prompts. Section 3.1: 'This paper seeks a structured format to provide LLMs with a clearly defined physical context... a fixed and uniform format for layout elements was designed'.</t>
  </si>
  <si>
    <t xml:space="preserve">[R1] Section 4.1 builds a custom Q&amp;A dataset (Table 1: 340 questions in 4 categories). It is scored by accuracy using rule-based coordinate extraction plus manual checks, comparing GPT-4, GPT-3.5, Mixtral and ChatGLM3. Section 4.2 compares the method with a COT baseline for 8/10/15 elements on I/L/U layouts (Table 2). Metrics are space utilization, compliance, layout requirements and comprehensive/relationship constraints. An ablation is reported in Table 3.
[R2] The paper constructs a specialized Q&amp;A dataset to evaluate LLM spatial reasoning capabilities (Section 4.1) and uses specific metrics (space utilization, compliance, constraint satisfaction) to compare the proposed method against a Chain-of-Thought baseline in case studies (Section 4.2). Table 2 and Table 3 present quantitative results based on these defined metrics.</t>
  </si>
  <si>
    <t xml:space="preserve">1-options</t>
  </si>
  <si>
    <t xml:space="preserve">[R1] The system generates layout schemes, but evaluation involves 'manual decisions' (Sec 3.3, Fig 9 'Decision-making + LLMs Assessment'). Sec 5 notes the method needs 'expert involvement during generation'. Humans therefore evaluate and decide on the generated layouts. Whether this should be coded as recommendation instead is uncertain (?), since a single layout is produced.
[R2] The system generates layout schemes (options) which are then evaluated by a human expert. The human makes the final decision on whether the layout is acceptable or needs adjustment. Section 3.3: 'The evaluation part is to evaluate the LLMs of the generated layout and make manual decisions'. The system does not autonomously implement the layout or veto human decisions; it provides the plan for human review.</t>
  </si>
  <si>
    <t xml:space="preserve">[R1] The overall method is described conceptually: an information metamodel (Sec. 3.1, Fig. 1-2), a task decomposition 'Task {Role, Space, Factory, Request}' (Sec. 3.2.1), a prompt template structure (Sec. 3.2.3, Fig. 7), and Word2vec/cosine RAG retrieval with a 'think-generate-evaluate' loop (Sec. 3.3, Fig. 8-9). Details needed for replication are missing. No verbatim prompts are given. The knowledge base contents and the top-k value are not specified. The evaluation step involves 'manual decisions' that are not operationalized. Metric computation (e.g., space utilization, compliance) is not formally defined. The RAG part is 'briefly summarized here without in-depth discussion'.
[R2] The paper describes the high-level architecture (information metamodel, prompt template structure, RAG retrieval using Word2vec, and the 'think-generate-evaluate' loop) in Section 3. However, specific implementation details are missing: the exact prompt templates are not provided verbatim (only described structurally in Figure 7), the specific vector database or embedding model details are sparse (only 'Word2vec' mentioned), and the code is not provided. The logic is clear, but replication would require guessing at the specific prompt wording and retrieval configuration.</t>
  </si>
  <si>
    <t xml:space="preserve">[R1] Model version: GPT-3.5 (turbo) and GPT-4 are given without snapshots or dates. ChatGLM3-6B is identified by 'the version newly released on 14 March 2024' and Mixtral 8x7B by name only, so not every model has an exact version (false).
Prompts: only the template structure (Fig. 7) and paraphrased examples of thinking/generation/evaluation triples (Fig. 9) are shown; no verbatim prompts (partial).
Decoding: 'temperature parameter fixed at 0.5' is stated for the Mixtral case study (Sec. 4.2); decoding settings for the other models in the Q&amp;A test are not given. Since decoding parameters are reported for the main experiment, I mark this true.
Code: no repository or link is given (false).
Data: 'this data cannot be made public' due to proprietary enterprise information (false).
Run date: no query dates are given (false).
[R2] Model versions: GPT-3.5 (turbo), GPT-4, ChatGLM3-6B (version released 14 March 2024), Mixtral 8x7B. GPT-4 and GPT-3.5 lack specific snapshot dates. Prompts: Structure described in Fig 7, but full text not provided. Decoding: Temperature 0.5 reported for Mixtral in Section 4.2. Code: No link provided. Data: Section 4.1 states 'this data cannot be made public' due to proprietary enterprise information. Run date: Not explicitly stated for the API calls, only the ChatGLM release date is mentioned.
[v0.10.0 re-code] efficiency 'no' (Table 1 token counts describe the Q&amp;A dataset, not system efficiency); data 'none' – check PDF for printed test items.</t>
  </si>
  <si>
    <t xml:space="preserve">10.1145_3742413.3789061_retrieval_v2.json</t>
  </si>
  <si>
    <t xml:space="preserve">SCSimulator: An Exploratory Visual Analytics Framework for Partner Selection in Supply Chains through LLM-driven Multi-Agent Simulation</t>
  </si>
  <si>
    <t xml:space="preserve">10.1145/3742413.3789061</t>
  </si>
  <si>
    <t xml:space="preserve">Shenghan Gao; Junye Wang; Junjie Xiong; Yun Jiang; Yun Fang; Qifan Hu; Baolong Liu; Quan Li</t>
  </si>
  <si>
    <t xml:space="preserve">Proceedings of the 31st International Conference on Intelligent User Interfaces</t>
  </si>
  <si>
    <t xml:space="preserve">conference-proceedings</t>
  </si>
  <si>
    <t xml:space="preserve">[R1] The paper proposes a novel system (SCSimulator, Sec. 4) and evaluates it in lab/artificial settings: a technical evaluation with 80 simulation runs against historical data (Sec. 5.1), an expert-based Likert evaluation with ten master's students (Sec. 5.2), a usage scenario (Sec. 6), and a lab user study with 12 participants (Sec. 7). The authors state that it has not been deployed in operational practice. Sec. 8.4.1: "it was conducted in short-term, laboratory-based settings... Future work will prioritize long-term, in-situ deployments." This makes it validation-research rather than evaluation-research.
[R2] The paper proposes a novel system (SCSimulator) and evaluates it in a controlled laboratory setting. Section 5 describes a 'Technical Evaluation' using a constructed dataset and quantitative metrics (ACC, Precision, Recall, F1, Gwet's AC1). Section 7 describes a 'User Study' with 12 participants in a lab setting using a think-aloud protocol and NASA-TLX scales. This fits the definition of validation-research: 'Novel technique evaluated in the lab / artificial setting... not yet used in practice'.</t>
  </si>
  <si>
    <t xml:space="preserve">[R1] There is a working system with a frontend and a backend (Sec. 4). It was evaluated under defined protocols with defined metrics: ACC, Precision, Recall, F1, Gwet's AC1 and consistency ratio across three LLMs (Table 1, Sec. 5.1); expert Likert ratings (Table 2); and a user study (N=12) using NASA-TLX and usability/effectiveness questionnaires (Table 5, Sec. 7). Anchor: "We conducted 80 independent runs on 4 key nodes with fully observed data."
[R2] The system is a working prototype (SCSimulator) that has been evaluated under a defined protocol with defined metrics. Section 5.1 reports quantitative performance metrics (Table 1) and Section 7.3 reports usability and effectiveness metrics (Table 5) from a user study. This meets the criteria for 'implemented-validated': 'Working system + evaluation under a defined protocol with defined metrics... user study'.</t>
  </si>
  <si>
    <t xml:space="preserve">[R1] The paper states no explicit research questions. It frames the work through three challenges (Sec. 1), four formative challenges C1-C4, three findings F1-F3, and seven design requirements DR1-DR7 (Sec. 3). None of these are phrased as research questions.
[R2] The paper does not explicitly list numbered Research Questions (RQs). Instead, it identifies 'three major challenges' in Section 1 (Representing Dynamic Relationships, Revealing Agent Reasoning and Impact, Balancing Adaptive Autonomy with Expert Intervention) and derives 'seven design requirements' (DR1-DR7) in Section 3.4. While these guide the work, they are not framed as formal research questions in the standard academic sense (e.g., 'RQ1: How does...?'). Therefore, 'NR' is appropriate as no verbatim RQs are stated.</t>
  </si>
  <si>
    <t xml:space="preserve">SC-network-design</t>
  </si>
  <si>
    <t xml:space="preserve">[R1] The paper addresses partner selection in supply chains: which supplier-customer links firms form or dissolve (Sec. 1, 4.1.2). This maps best to SC-network-design, since the decisions are the creation or removal of network links between suppliers and customers. It is a boundary case. The focus is firm-level partner selection, i.e. supplier and customer base, rather than a full multi-echelon network configuration with facilities. No other subdomain fits.
[R2] The paper focuses on 'partner selection in Supply Chains' and simulating the evolution of 'SC evolution via adaptive network structures'. This aligns with the definition of SC-network-design (Supply chain network design), specifically regarding the configuration of relationships (links) between nodes (firms). It is not factory planning, site selection, or GPN design in the traditional manufacturing footprint sense, but rather the strategic configuration of the supply chain network itself.</t>
  </si>
  <si>
    <t xml:space="preserve">supplier-sourcing-network-strategy; simulation-modeling</t>
  </si>
  <si>
    <t xml:space="preserve">[R1] The core task is partner selection, i.e. selection of suppliers and customers (Sec. 1: 'partner selection problem is a typical multi-objective dynamic game problem'). This maps to supplier-sourcing-network-strategy. Customer selection is also part of the task and is covered under 'sales'. The method is an LLM-driven multi-agent simulation for exploratory what-if analysis (Sec. 4.1.2, 8.1.1), so simulation-modeling also applies. The paper explicitly does not perform resilience scenario planning, although robustness is mentioned as context.
[R2] The core task is 'partner selection', which maps to 'supplier-sourcing-network-strategy' (Supplier selection and sourcing-network strategy). The method explicitly uses 'LLM-driven Multi-Agent Simulation' (MAS) to explore these decisions, which maps to 'simulation-modeling' (Simulation modeling for planning). The paper states: 'SCSimulator... integrates LLM-driven MAS... for SC partner selection.'</t>
  </si>
  <si>
    <t xml:space="preserve">procurement; sales</t>
  </si>
  <si>
    <t xml:space="preserve">[R1] Agents decide whether to seek suppliers or seek customers (prompt field 'is_seek_suppliers', Appendix A Listing 2). The usage scenario focuses on acquiring new customers in new sectors (Sec. 6). Procurement covers supplier selection; sales covers customer and market selection.
[R2] The paper discusses selecting 'upstream and downstream stakeholders', 'suppliers', and 'customers'. This involves both the procurement side (selecting suppliers) and the sales/distribution side (selecting customers/partners for demand). Section 1 mentions 'evaluating the capabilities of (potential) upstream and downstream stakeholders'.</t>
  </si>
  <si>
    <t xml:space="preserve">[R1] This is not a factory planning study.
[R2] The paper is not about factory planning per VDI 5200. It is about supply chain partner selection and network dynamics. Therefore, VDI 5200 phases are not applicable.</t>
  </si>
  <si>
    <t xml:space="preserve">[R1] No planning horizon such as 'X years' is stated. The paper mentions simulation turns in quarters (reference length and simulation turns of 4 quarters, Sec. 6.2) and a dataset of 8 quarters (2023–2024). These are simulation and data parameters, not a stated planning horizon.
[R2] The paper does not explicitly state a fixed planning horizon like '5 years' or '2025-2030'. It uses 'quarters' (e.g., Q8-Q12) for simulation steps and mentions 'long-term development' qualitatively, but no specific strategic time horizon value is defined as a constraint or output parameter in the standard sense.</t>
  </si>
  <si>
    <t xml:space="preserve">[R1] Strategic is selected because the decisions create or remove supplier-customer links, which determines the network structure. Examples: Stage III 'request collaborations' and termination requests (Sec. 4.1.2), and 'dropping old partners' in the usage scenario. The decisions are made quarter by quarter in simulation, so a tactical reading is possible, but the paper frames them as strategic repositioning (e.g. market entry). The tier is uncertain ('?').
[R2] The paper addresses 'partner selection', which is described as a 'strategic' decision involving 'long-term development' and 'strategic objectives'. Section 1 states: 'Identifying and sustaining effective partnerships has become a central task in strengthening SC robustness...'. Section 6.3 mentions 'long-term development'. This is a system-configuring decision (who are the partners), which falls under the Strategic tier.</t>
  </si>
  <si>
    <t xml:space="preserve">[R1] The authors use strategic framing such as 'strategic considerations', 'strategic deliberation' (Sec. 8.1.1), 'aligned with their expectations and strategic priorities' (Abstract), and 'strategic interactions among firms' (Sec. 4.1.2). They make no explicit tier claim such as 'strategic planning horizon', so this is a loose attribution ('?').
[R2] The authors frame the problem as 'partner selection' and 'strategic objectives'. In Section 1, they refer to 'strategic considerations' and 'strategic alignment'. In Section 6.4, they discuss 'strategic optimization'. This implies a strategic horizon.</t>
  </si>
  <si>
    <t xml:space="preserve">[R1] Partner selection decisions add or remove network links (supplier-customer relationships). Sec. 4.1.2 Stage III: 'agents ... select suitable companies as collaboration targets ... if a Plan involves reducing collaborations ... agents issue termination Requests'. Sec. 8.3: 'edge formation and deletion'.
[R2] The decision determines which firms are partners (links in the network). The paper states: 'agents continuously adapt and restructure their relationships', 'forming or dissolving a partnership', 'adding or removing entries'. This changes the structure of the supply chain network (what exists), which is a system-configuring decision.</t>
  </si>
  <si>
    <t xml:space="preserve">[R1] The paper uses MCDM and game theory as general methods and cites a request-response cycle from the partner selection literature [38, 73]. It uses no planning-domain framework such as the SC Planning Matrix to structure its scope.
[R2] The paper cites MCDM and Game Theory as underlying principles, but these are general methods, not specific planning-domain frameworks like VDI 5200 or the SC Planning Matrix used to structure the scope. It does not cite Lanza et al., Wiendahl-Nyhuis, or Melo et al. as the primary structuring framework for the planning scope.</t>
  </si>
  <si>
    <t xml:space="preserve">[R1] Only general methods (MCDM, GT, multi-agent simulation, SHAP) and background literature are cited. No planning-domain reference model structures the scope.
[R2] The paper uses MCDM and Game Theory as theoretical underpinnings for the agent logic, but does not adopt a specific strategic planning framework (like VDI 5200 or SC Planning Matrix) to structure its scope or methodology. It is a novel LLM-driven MAS approach.</t>
  </si>
  <si>
    <t xml:space="preserve">GPT; Gemini; Qwen</t>
  </si>
  <si>
    <t xml:space="preserve">[R1] ChatGPT-4o belongs to the OpenAI GPT family, Gemini-2.5-flash to Google Gemini, and Qwen3-VL-Flash to Alibaba Qwen (Table 1).
[R2] ChatGPT-4o belongs to the GPT family (OpenAI). Gemini-2.5-flash belongs to the Gemini family (Google). Qwen3-VL-Flash belongs to the Qwen family (Alibaba). This is based on standard model naming conventions and the explicit names provided in Table 1.</t>
  </si>
  <si>
    <t xml:space="preserve">[R1] Sec. 8.4.2 states the system is limited to about 50 agents 'due to the performance constraints of API-based LLM access.'
[R2] Section 8.4.2 mentions 'performance constraints of API-based LLM access' as a limitation for scaling. The models listed (ChatGPT, Gemini, Qwen) are typically accessed via API in such research contexts, and no local inference infrastructure is described.</t>
  </si>
  <si>
    <t xml:space="preserve">[R1] The prompts in Appendix A contain only text: company info, features, network links and knowledge. Qwen3-VL is a vision-language model, but it receives only text here.
[R2] The inputs to the LLM agents are structured text prompts containing company profiles, network data, and knowledge (Section 4.1.2, Appendix A). The outputs are JSON-formatted text decisions. No image or audio inputs are described for the LLM agents themselves.</t>
  </si>
  <si>
    <t xml:space="preserve">[R1] No fine-tuning is reported. Agents rely on persona-based prompts (Sec. 8.4.2), and specialized LLMs are mentioned only as future work.
[R2] The paper describes using 'persona-based prompts' (Section 8.4.2) and does not mention any fine-tuning, LoRA, or weight updates for the LLMs. The agents are driven by prompting and context injection.</t>
  </si>
  <si>
    <t xml:space="preserve">multi-agent</t>
  </si>
  <si>
    <t xml:space="preserve">[R1] Each firm is an autonomous LLM agent, and these peer agents interact by sending requests to and replying to one another (Sec. 4.1.2, Fig. 2), with no controlling agent. Within each agent the four stages form a fixed developer-defined sequence, but the outermost structure is peer agent interaction.
[R2] The system models each company as an 'autonomous agent' (Section 4.1.2). These agents interact with each other in a peer-to-peer manner (requesting and replying to other agents) without a central supervisor agent controlling the flow of the simulation logic itself (the simulation engine orchestrates the turns, but the decision-making is distributed among peer agents). This fits the 'multi-agent' definition of several peer agents interacting.</t>
  </si>
  <si>
    <t xml:space="preserve">[R1] Memory: agents receive the previous 'Reference Length' time steps of SC state, and stage outputs within a turn are passed forward. There is no persistent episodic memory store, so this is coded short-term ('?'). Planning: Stage I explicitly asks the LLM to formulate Plans with Reasons before acting. Tool use: query functions are predefined and called by the pipeline using the LLM's JSON constraints, so the LLM does not autonomously decide to call tools.
[R2] Agent Memory: Agents maintain state across simulation turns (e.g., current partners, knowledge) which is passed in the prompt context, representing short-term/session memory. Planning/Reflection: The 'Plan' stage explicitly involves formulating strategy objectives and reasons, and the 'Reply' stage involves assessing proposals, which constitutes planning and reflection on incoming actions. Tool Use: The agents do not dynamically decide to call external tools at runtime; instead, the system framework provides query functions and data structures that are used in the fixed pipeline stages (Query stage uses predefined query functions). The LLM generates the parameters for these queries, but the execution is part of the fixed workflow, not autonomous tool selection in the ReAct sense.</t>
  </si>
  <si>
    <t xml:space="preserve">[R1] Borderline case (?). The paper frames partner selection as an integrated MCDM-GT problem (Sec. 1, 2.1). Within the method itself, Stage II (Query) of the LLM-driven MAS (Sec. 4.1.2; Listing 3) has each agent convert its Plan into constraints (an industry set) and feature weights ('weighted_scores'). Predefined query functions then 'retrieve and rank a list of companies that best satisfy the weighted criteria'. This is a weighted-sum multi-criteria ranking, which is what qualifies as an optimization-tradition element. The rest of the pipeline is not an OR formulation: the LLM handles Plan, Request and Reply, and the regression, SHAP and VGAE components serve prediction and explanation. No MILP, metaheuristic, RL or solver is used by the method. RL and mathematical models appear only in related work as prior MAS approaches.
[R2] The paper explicitly states that the partner selection problem is a 'multi-objective dynamic game problem, which integrates the core principles from Multi-Criteria Decision-Making (MCDM) and Game Theory (GT)' (Section 1). The system implements an MCDM component where agents define 'weighted scores' for features to rank candidates (Section 4.1.2, Stage II: Query). Additionally, it uses predictive models (regression) to evaluate performance, which is a form of optimization/scoring for decision support. While it is primarily a simulation framework, the underlying decision logic relies on MCDM principles.</t>
  </si>
  <si>
    <t xml:space="preserve">[R1] No optimization solver is reported. Ranking is done by 'predefined query functions'. The regression models (Linear, Lasso, RF, Gradient Boosting) and SHAP are used for prediction and explanation, not optimization.
[R2] No traditional optimization solver (e.g., Gurobi, CPLEX) is used. The system uses LLMs for decision generation and standard machine learning libraries (implied by Random Forest, Lasso, etc.) for prediction, but no OR solver is mentioned.</t>
  </si>
  <si>
    <t xml:space="preserve">[R1] No alternative method was applied to the same task. §5.1 compares only LLM backbones (ChatGPT-4o, Gemini-2.5-flash, Qwen3-VL-Flash) and compares outputs against observed data; neither counts as a comparator. §8.4.1 explicitly states no baseline system comparison was included in the user study.
[R2] The paper compares the performance of different LLM backbones (ChatGPT-4o, Gemini, Qwen3) in Table 1, but this is an ablation/comparison of components, not a comparator method for the task. The evaluation compares simulation outputs to 'observed network' (ground truth), which is not a comparator method. There is no comparison against a human planner or a conventional non-AI method for the same task. The user study does not compare against a baseline system (Section 8.4.1: 'we did not include direct comparisons with baseline systems').</t>
  </si>
  <si>
    <t xml:space="preserve">[R1] The expert evaluation used master's students acting as experts. User study participants were recruited from research institutes and companies at partner universities and followed the authors' protocol. No blind third-party evaluation was reported.
[R2] The quantitative evaluation is automated. The expert evaluation (Section 5.2) was conducted with 'ten master's students trained in management, who acted as domain experts'. These are not the authors, but they are not independent third-party experts in the strict sense of 'blind' or 'external' validation; they are participants in the study. The user study (Section 7) involved 12 participants, also not the authors. However, the definition of 'independent_evaluation' is 'Y only if the evaluation was run or judged by people other than the authors and their project partners'. The participants are 'master's students' and 'managers' from 'partner universities' or 'companies'. Section 7.1 says 'recruited 12 new participants... from research institutes and companies at partner universities'. This suggests they are not the authors. However, the 'expert-based subjective evaluation' in Section 5.2 uses 'ten master's students... who acted as domain experts'. This is a user study/expert study. Is it 'independent'? The authors did not judge it. The participants did. So it is judged by people other than the authors. But are they 'independent'? They are recruited participants. The definition says 'Y only if... judged by people other than the authors'. This fits. However, often 'independent evaluation' implies a separate, external validation not part of the main study. Here, the user study *is* the evaluation. I will mark it as 'N' because the evaluation is part of the paper's own study design, not an independent external validation. The participants are not 'third-party testers' in the sense of an independent audit, but rather subjects of the user study. The schema definition is slightly ambiguous. 'Partner employees testing the system under the authors' protocol do not count.' The participants are students/managers, not necessarily partners. But they are recruited for the study. I will stick with 'N' as it is a standard user study, not an independent external evaluation.</t>
  </si>
  <si>
    <t xml:space="preserve">[R1] §5.1 reports 80 independent runs on 4 key nodes, used to compute decision consistency (Gwet's AC1, CR). This implies about 20 runs per node if evenly distributed, but that split is not stated explicitly (uncertain '?'). No LLM judges outputs; judgments come from metrics against observed data and from human ratings. LLM cost, latency or tokens are not quantified. Only qualitative mention is made of simulation delays and of API performance constraints; the box-plot runtimes concern the regression models, not the LLM. No significance tests or confidence intervals are reported.
[R2] Repeated runs: Section 5.1 states 'We conducted 80 independent runs'. LLM as judge: No LLM is used to judge the outputs; humans (experts/users) and quantitative metrics against ground truth are used. Efficiency metrics: No cost, latency, or token usage is reported in the results tables or text. Statistical testing: No p-values or confidence intervals are reported for the comparisons in Tables 1, 2, or 5.
[v0.10.0 re-code] repeated_runs = stated total (80 runs, §5.1); R3 earlier decided 20 per node (inferred even split); efficiency 'no' (qualitative mentions of delays only); data 'none' – check PDF for printed test items.</t>
  </si>
  <si>
    <t xml:space="preserve">[R1] Humans act on intermediate LLM output inside the workflow. In the Adjustment View (Sec 4.2.5), users can modify agents' Plans and Candidates: "Users can intervene in both Plans and Candidates using dedicated controls: (Negate)... (Add)... (Delete)... (Apply Modify) to confirm the changes." Users also edit agent Knowledge and rerun simulations (Sec 4.2.2; Sec 6.3–6.4). On the Upload Page, users review and modify the LLM agent's data mappings: "users can directly review and modify the mappings" (Sec 4.2.1).
[R2] The system explicitly integrates a 'human-in-the-loop collaboration mechanism' (Section 4). Users can 'interactively guide agent behaviors' via the Adjustment View (Section 4.2.5), 'modify specific company agents at selected timestamps' (DR6), and 'iteratively adjust simulation settings' (Abstract). The user study confirms participants 'configured external knowledge to intervene in the simulation' (Section 5.2).</t>
  </si>
  <si>
    <t xml:space="preserve">human-override; what-if-interface; iterative-feedback</t>
  </si>
  <si>
    <t xml:space="preserve">[R1] human-override: users edit or veto agents' intermediate plans, candidate choices and request decisions in the Adjustment View (Sec 4.2.5, Fig 6). what-if-interface: users change Knowledge and parameters to explore alternative trajectories, and can branch paths in the Simulation Path View: "MAS-supported 'what-if' exploration" (Sec 8.1.1; DR7). iterative-feedback: users follow a "simulate-check-adjust cyclic process" (Sec 8.3). The usage scenario shows Round 1 results informing revised Knowledge for Round 2 (Sec 6.4).
[R2] 1. What-if-interface: Users 'explore outcomes aligned with their expectations' (Abstract) and 'explore alternative trajectories' (DR7). 2. Human-override: Users can 'Negate' rejected collaborations, 'Add' or 'Delete' candidates, and 'Apply Modify' to confirm changes, effectively overriding agent decisions (Section 4.2.5). 3. Iterative-feedback: The workflow involves 'iteratively refine it through multiple rounds of expert feedback' (Section 1) and users 'iteratively adjust simulation settings' (Abstract).</t>
  </si>
  <si>
    <t xml:space="preserve">[R1] Uncertain (?). The system maps raw data into a structured simulator template with three dimensions, Network, Feature and Knowledge (Sec 4.1.1): "the SC is conceptualized through three complementary dimensions, Network, Feature, and Knowledge." Firm features were expert-scored on Operation, Technology and Reputation on a 0–100 scale (Sec 5). Agents output strict JSON schemas with fields such as industry_set, weighted_scores and is_seek_collaboration, which feed predefined query functions (Appendix A). However, the Knowledge component itself is free text in prompts, which does not count on its own.
[R2] The system uses a 'structured template' for data mapping (Section 4.2.1) and defines a tri-dimensional representation of companies: Network, Feature, and Knowledge (Section 4.1.1). The 'Knowledge' component includes 'global knowledge' and 'firm-specific knowledge' that informs strategic objectives (Section 4.1.1). The prompts in Appendix A show structured JSON formats for plans, queries, and requests, indicating a formalized schema for domain entities and constraints.</t>
  </si>
  <si>
    <t xml:space="preserve">[R1] Sec 5.1 defines a repeatable protocol: "We conducted 80 independent runs on 4 key nodes... 4 consecutive time steps served as historical input, and the simulated network evolution was evaluated against the observed network at the subsequent step." It reports ACC, Precision, Recall, F1, Gwet's AC1 and consistency ratio across three LLMs. Sec 5.2 adds an expert evaluation using 5-point Likert items (Table 2). Sec 7 reports a user study with NASA-TLX, usability and effectiveness questionnaires.
[R2] The paper describes a 'Technical Evaluation' (Section 5) with 'quantitative performance metrics' (ACC, Precision, Recall, F1, Gwet's AC1) and 'expert-based subjective assessments' (Likert scales). It also includes a 'User Study' (Section 7) with 12 participants, using NASA-TLX and custom usability/effectiveness questionnaires. The procedure is defined with specific tasks and time limits.</t>
  </si>
  <si>
    <t xml:space="preserve">[R1] The system generates exploratory simulated trajectories and alternatives; the human evaluates them and makes the real partner-selection decision. The paper states "SCSimulator is not positioned as an autonomous decision-making system" (Sec 8.1.3), and the system improves decisions "by expanding the space of considered alternatives" rather than producing optimal answers (Sec 8.1.1). Agent decisions within the simulation are autonomous, but they do not constitute the real-world decision.
[R2] The system is described as a 'heuristic, exploratory tool' and 'proof-of-concept' (Abstract). It 'assists' decision-makers (Section 1). Users must 'actively influence simulation process' (Section 1) and 'review detailed simulation procedures and interactively guide agent behaviors' (Section 4). The agents generate plans and requests, but the final decision to accept/reject or modify is often mediated by the user's intervention or the user's review of the simulation outcomes. The system does not autonomously execute real-world business decisions; it simulates them for exploration. The user 'decides' which path to take or which modifications to apply. Thus, it provides options/simulations for the human to evaluate.</t>
  </si>
  <si>
    <t xml:space="preserve">[R1] §5.1 defines its metrics: ACC, Precision, Recall, F1, Gwet's AC1 and consistency ratio (CR) with thresholds. These are reported over 80 runs on 4 nodes across three LLMs, which act as comparators (Table 1). However, no variance is reported for these metrics, and there is no non-LLM baseline. §5.2 reports expert Likert ratings with mean and SD (n=10). The user study (N=12, §7) reports means and SDs per group (Table 5). A usage scenario (§6) exercises the core claims. Overall the grounding is adequate, but the comparators are limited: 'we did not include direct comparisons with baseline systems' (§8.4.1).
[R2] The paper includes a technical evaluation (Section 5) with quantitative metrics (ACC, Precision, Recall, F1, Gwet's AC1) comparing three LLMs (ChatGPT-4o, Gemini, Qwen3) against observed data. It also includes an expert-based subjective evaluation (Table 2) and a user study (Section 7) with 12 participants, reporting NASA-TLX scores and usability ratings. A detailed usage scenario (Section 6) demonstrates the system's workflow and decision-making process.</t>
  </si>
  <si>
    <t xml:space="preserve">[R1] Limitations are discussed explicitly in §8.1.2 (scalability; 30-50 agents is 'insufficient for rigorous quantitative validation'), §8.1.3 (data availability, cost, reliability/safety), §8.2.3 (agent autonomy boundary violations) and §8.4 (short-term lab study, no baseline, small domain-specific dataset, API performance constraints, persona-based prompts). Observed failure modes are also reported in §5.2: conservative behavior without knowledge and overreaction with knowledge.
[R2] Section 8.4 explicitly discusses limitations. It acknowledges the small scale of the dataset (35 firms), the lack of long-term in-situ deployment, and the constraints of API-based LLM access for large-scale MAS. It also discusses the 'behavioral entropy' and reliability issues of LLM agents in Section 8.1.3 and 8.2.3, noting that the system is intended for exploratory sensemaking rather than deterministic prediction.</t>
  </si>
  <si>
    <t xml:space="preserve">[R1] §2 positions the work against prior research with explicit differentiation in three areas. Against MCDM/GT approaches and MARL simulation: 'heavily dependent on mathematical assumptions'. Against LLM SC agents (InvAgent, Wang et al., Jannelli et al.): 'existing studies primarily focus on qualitative insights... Our system integrates predictive models with SHAP'. Against dynamic egocentric network visualization (EgoLines, SpreadLines, etc.).
[R2] Section 2 (Related Work) extensively reviews prior work in Supply Chain Analysis, Multi-Agent Simulation, and Dynamic Temporal Network Visualization. It explicitly contrasts SCSimulator with traditional mathematical models, reinforcement learning-based MAS, and existing LLM-agent frameworks (like Smallville, InvAgent). It highlights specific gaps in prior work, such as the lack of quantitative interpretability in LLM explanations and the homogenization of agent logic in traditional MAS, positioning SCSimulator as a solution integrating MCDM, Game Theory, and XAI (SHAP).</t>
  </si>
  <si>
    <t xml:space="preserve">[R1] Models are named only as ChatGPT-4o, Gemini-2.5-flash and Qwen3-VL-Flash, with no snapshot/date; the UI also shows 'GPT4o-mini', which is inconsistent. Prompt templates for all four stages, plus the company info template, are provided verbatim in Appendix A (Listings 1-5), so prompts are marked 'full'. Some listings appear truncated (e.g., '...' in the candidate list), but the templates are essentially complete. No temperature, top-p or seed is reported. No code repository link is given. The dataset was built from public sources (cebpubservice.cn, gsxt.gov.cn) but anonymized and expert-scored, and is not released. No query dates are reported; the data period is 2023-2024, but no model run dates are given.
[R2] Model versions: The paper mentions 'ChatGPT-4o', 'Gemini-2.5-flash', and 'Qwen3-VL-Flash' in Table 1, but does not provide specific snapshot dates or version numbers (e.g., gpt-4o-2024-08-06). Prompts: Appendix A contains the full prompt templates for all four stages of the simulation. Decoding params: No temperature, top-p, or seed values are mentioned in the text or appendix. Code: No GitHub link or repository is provided. Data: The dataset is described as 'anonymized firms' from public sources, but no direct link to the dataset is provided. Run date: The paper is dated IUI '26 (2026), but the specific dates of the LLM API calls are not reported.
[v0.10.0 re-code] repeated_runs = stated total (80 runs, §5.1); R3 earlier decided 20 per node (inferred even split); efficiency 'no' (qualitative mentions of delays only); data 'none' – check PDF for printed test items.</t>
  </si>
  <si>
    <t xml:space="preserve">10.2139_ssrn.5370043_retrieval_v2.json</t>
  </si>
  <si>
    <t xml:space="preserve">Large Language Models for Supply Chain Decisions</t>
  </si>
  <si>
    <t xml:space="preserve">10.2139/ssrn.5370043</t>
  </si>
  <si>
    <t xml:space="preserve">David Simchi-Levi; Konstantina Mellou; Ishai Menache; Jeevan Pathuri</t>
  </si>
  <si>
    <t xml:space="preserve">SSRN</t>
  </si>
  <si>
    <t xml:space="preserve">tier-1-preprint</t>
  </si>
  <si>
    <t xml:space="preserve">experience-paper</t>
  </si>
  <si>
    <t xml:space="preserve">[R1] This is a book chapter by practitioners and researchers (MIT, Microsoft Research, Microsoft). It reports how they applied LLMs to supply chain decisions and how the production deployment went (Sec. 6: 'Production Deployment - Microsoft's Cloud Supply Chain'; Sec. 7: procurement examples; Sec. 8: lessons and advice). No controlled study design or research methodology is stated. Quantitative results are reported only briefly: ~90% accuracy and ~23% saving in fulfillment investigation time. Planner quotes are given as anecdotal evidence. The paper could arguably be classed as evaluation-research, since the system runs in real operational use with real users. However, the evaluation protocol is only sketched ('In a nutshell, the methodology involves creating a set of test questions'), so experience-paper fits best (?).
[R2] The paper is explicitly described as a 'Forthcoming chapter in AI in Supply Chains: Perspectives from Global Thought Leaders' and expands on a Harvard Business Review article. It reports on how the authors applied LLMs to address specific challenges in supply chain management, detailing the implementation at Microsoft and other industries. The focus is on the practical application, deployment, and impact (productivity gains) rather than proposing a novel theoretical framework or conducting a controlled lab experiment. Section 6 ('Production Deployment - Microsoft's Cloud Supply Chain') and Section 7 ('Procurement Examples') provide practitioner accounts of what was done and how it went, fitting the 'experience-paper' definition.</t>
  </si>
  <si>
    <t xml:space="preserve">[R1] A working system is deployed in production at Microsoft's cloud supply chain (Sec. 6, Evaluation and Deployment). Evaluation reports defined metrics: 'The current deployment uses GPT-4 and achieves around 90% accuracy', and 'estimated to have saved planners around 23% of fulfillment investigation time'. Drift analysis time fell from about a week to minutes. A test-question methodology was used, including challenging questions with incorrect grammar or atypical phrasing. Several models were compared: GPT-4 with in-context learning, and fine-tuned Llama-2 and Phi-2. Uncertainty (?): the protocol details (test-set size, scoring) are not reported, which makes this borderline with prototype. The procurement examples in Sec. 7 are anecdotal reports from other companies.
[R2] The system is described as being 'shipped in production' (Section 6, Evaluation and Deployment). It underwent 'extensive testing in research and product teams' and achieved 'around 90% accuracy' (Section 6). The paper reports quantitative outcomes, such as saving planners 'around 23% of fulfillment investigation time' and reducing analysis time from 'a week' to 'minutes' (Section 6, User Experience and Impact). This meets the criteria for a working system with evaluation under a defined protocol and metrics in an operational setting.</t>
  </si>
  <si>
    <t xml:space="preserve">[R1] No explicit research questions are stated. The paper frames its aims around three challenges (Abstract, Sec. 1): understanding and explaining recommendations, answering what-if questions, and updating models to reflect current business environments. These are described as application directions, not formal RQs.
[R2] The paper does not explicitly list formal Research Questions (RQs). Instead, it outlines 'three challenges' or 'directions' in the Abstract and Introduction: (i) understand and explain recommendations, (ii) analyze scenarios/what-if questions, and (iii) update mathematical models. These are presented as problems to be solved by the LLM technology rather than academic research questions.</t>
  </si>
  <si>
    <t xml:space="preserve">[R1] Boundary case ('?'). The paper does not frame its work as strategic design. Its use cases are reasoning about supply chain data and tools for 'Sales and Operations Planning (S&amp;OP), Network Strategy, Supply Chain Resiliency and Inventory Optimization' (Sec. 1). The generic example is a multi-echelon supply chain of suppliers, factories and retailers (Sec. 3-4). What-if questions such as 'Can we still fulfill all demand if we shut down factory F?' and 'where should we produce, products for the United States' (Sec. 4) touch network-level questions. SC-network-design is the closest available subdomain, but the deployed applications are tactical/operational: demand drift analysis and explaining fulfillment plans for Microsoft's cloud hardware supply chain (Sec. 6), plus procurement contract analysis (Sec. 7). Inclusion under strategic scope is questionable; flag for screening review.
[R2] The paper focuses on 'Sales and Operations Planning (S&amp;OP)', 'Network Strategy', and 'Supply Chain Resiliency' (Section 1). It describes using LLMs to interact with optimization tools that determine supply chain plans, including network design and fulfillment (Section 6, Example 2). While it touches on procurement (Section 7), the core technical contribution is the integration of LLMs with supply chain planning/network optimization tools. It does not focus on factory layout (VDI 5200) or specific site selection as a standalone strategic design task in the traditional sense, but rather the configuration and planning of the existing network/flow. 'SC-network-design' is the best fit among the options for the general supply chain planning and network strategy context described.</t>
  </si>
  <si>
    <t xml:space="preserve">[R1] Not a factory planning study; factory-planning is not in subdomain.
[R2] The paper is not about factory planning per VDI 5200. It is about supply chain management, S&amp;OP, and cloud infrastructure planning. VDI 5200 is specific to factory planning processes.</t>
  </si>
  <si>
    <t xml:space="preserve">Tactical; Operational</t>
  </si>
  <si>
    <t xml:space="preserve">[R1] Tactical: S&amp;OP plan updates (Sec. 5) and the demand plan 'for the next year or so' with a fulfillment plan assigning hardware supplier, dock-date and deployment location (Sec. 6). Operational: questions such as 'How many products of type T are being shipped today to retailer R?' (Sec. 3), 'dock a certain demand a week earlier', 'disactivate a certain warehouse for one week' (Sec. 6), and the seven-day facility outage replanning (Sec. 5). Strategic is not selected because no system-configuring decision is clearly supported (see below).
[R2] The paper emphasizes reducing 'time to decision from days and weeks to minutes and hours' (Abstract). It focuses on 'Sales and Operations Planning (S&amp;OP)' (Section 1), which is typically tactical. It also handles real-time disruptions like a 'winter storm' causing a 7-day shutdown (Section 5), which is operational. The 'demand plan' in Section 6 is for the 'next year or so', which is tactical. The method supports adjusting existing plans rather than designing the long-term strategic network structure from scratch (though it mentions 'Network Strategy', the LLM's role is in interacting with the tools for planning/execution).</t>
  </si>
  <si>
    <t xml:space="preserve">[R1] Uncertain ('?'). The decisions the deployed method supports concern how existing resources are used: fulfillment assignments, dock dates, shipping, and replanning around disruptions ('generate a new plan that avoids using the disrupted manufacturing facility', Sec. 5). What-ifs like 'shut down factory F' (Sec. 4) are evaluative scenarios, not designs. One borderline mention: integrated recommendation modules, 'e.g., add a new transit lane between two locations' (Sec. 6). This could count as a network link creation, but it is mentioned only briefly and transit lanes are likely tactical logistics choices. The question 'where should we produce' under new tariffs (Sec. 4) is an example question only. Verifier should check.
[R2] The LLM is used to 'understand and explain the recommendations', 'analyze various scenarios', and 'update the mathematical models... to reflect current business environments' (Abstract). It translates queries into constraints for existing optimization solvers (Section 4). It does not determine 'what exists' (e.g., building new factories, selecting new sites) but rather optimizes the use of existing resources (hardware, factories, warehouses) within the current network structure. The 'Network Strategy' mentioned is likely the domain of the underlying tool, but the LLM's specific contribution is in the planning/execution layer (tactical/operational), not the strategic configuration of the network topology itself.</t>
  </si>
  <si>
    <t xml:space="preserve">[R1] No statement found framing the decisions as configuring or designing the system.
[R2] No statement found framing the LLM's decision as configuring the system structure (what exists). The focus is on 'automate key decision-making processes' (Section 1) and 'interactive planning' (Section 5) within the existing supply chain context.</t>
  </si>
  <si>
    <t xml:space="preserve">[R1] No planning-domain framework (e.g., SC Planning Matrix) is used to structure the scope. Only LLM adaptation methods (in-context learning, fine-tuning, RAG) and optimization are discussed.
[R2] The paper does not cite VDI 5200, the SC Planning Matrix, or other specific strategic planning frameworks to structure its scope. It references general LLM concepts and supply chain management practices (S&amp;OP, optimization).</t>
  </si>
  <si>
    <t xml:space="preserve">[R1] The paper is a practitioner-oriented book chapter describing LLM applications (data insights, what-if analysis, interactive planning). Its scope is structured by use cases, not by a planning-domain reference framework.
[R2] The paper is a technical application paper focusing on the integration of LLMs with existing supply chain optimization tools. It does not adopt a specific theoretical framework for strategic planning scope definition.</t>
  </si>
  <si>
    <t xml:space="preserve">GPT; Llama; Phi</t>
  </si>
  <si>
    <t xml:space="preserve">[R1] GPT-4 belongs to OpenAI's GPT family, Llama-2 to Meta's Llama family, and Phi-2 to Microsoft's Phi family (Section 6, Evaluation and Deployment).
[R2] GPT-4 belongs to the GPT family (OpenAI). Llama-2 belongs to the Llama family (Meta). Phi-2 belongs to the Phi family (Microsoft). All are explicitly named in Section 6.</t>
  </si>
  <si>
    <t xml:space="preserve">[R1] GPT-4 is proprietary. Llama-2 and Phi-2 are described as 'open-sourced models' (Section 6), so the set of evaluated models is mixed. The production deployment itself uses only the proprietary GPT-4.
[R2] GPT-4 is a proprietary model (N). Llama-2 and Phi-2 are described as 'open-sourced models' (Y). Since the system tested and potentially uses a mix of these, 'mixed' is appropriate. Section 6 explicitly calls Llama-2 and Phi-2 'open-sourced'.</t>
  </si>
  <si>
    <t xml:space="preserve">[R1] Section 3 says 'the LLM can be utilized as a cloud service', and Section 8 says LLMs 'are typically accessed as a service'. GPT-4 in production is therefore accessed as a hosted service. Hosting of the fine-tuned Llama-2 and Phi-2 is not reported (?).
[R2] Section 3 states: 'the LLM can be utilized as a cloud service'. Section 8 states: 'LLMs are typically accessed as a service - either directly through LLM providers or via major cloud platforms, eliminating the need for companies to invest in costly GPU hardware.' This indicates an API-based deployment for the LLM component itself, even if the data stays local.</t>
  </si>
  <si>
    <t xml:space="preserve">[R1] Inputs are plain-language questions, in-context question–code examples, demand plan data and application outputs, all handled as text (Sections 3–6). The procurement examples involve Excel, Word and PDF documents, but these are processed as text/data, and no image input is described.
[R2] The paper describes interactions via 'plain language questions', 'text', 'code', and 'SQL'. There is no mention of image, audio, or other non-text modalities being input to the LLM. Section 2 mentions 'structured (numeric) and unstructured (text, image) data' in a general context of LLMs, but the specific supply chain method described relies on text queries and code generation.</t>
  </si>
  <si>
    <t xml:space="preserve">few-shot</t>
  </si>
  <si>
    <t xml:space="preserve">[R1] Section 4 states: 'generate a large repository of questions and code answers. Some of these question-answer pairs are then appended to the user query and are used as examples as part of the in-context learning approach.' Figure 1 also shows 'In-Context Learning' for both the question handler and interpreter steps.
[R2] Section 4 states: 'Some of these question-answer pairs are then appended to the user query and are used as examples as part of the in-context learning approach'. This is explicitly few-shot/in-context learning. Section 2 also defines in-context learning as incorporating training examples into the prompt.</t>
  </si>
  <si>
    <t xml:space="preserve">[R1] Figure 1 shows a developer-defined flow: question handler → LLM (code generation) → supply chain tool → interpreter → LLM (answer generation). The LLM does not autonomously choose actions; its position in the flow is fixed.
[R2] The system follows a fixed, developer-defined sequence: User Question -&gt; Question Handler (appends examples) -&gt; LLM (generates code/query) -&gt; External Tool (Solver/DB) -&gt; Interpreter (LLM translates output) -&gt; User. This is a fixed pipeline of specialized roles (LLM as translator, Tool as executor, LLM as interpreter). It is not an autonomous agent deciding next steps dynamically (ReAct), nor a supervisor delegating to peer agents. It is a structured workflow.</t>
  </si>
  <si>
    <t xml:space="preserve">[R1] Two sequential LLM calls are made: the first produces application code, and the second interprets the tool output into a natural-language answer. Each processes the output of the previous step (via tool execution). No routing, parallelization or evaluator loop is described.
[R2] The process involves a fixed sequence of LLM calls and tool executions. The LLM generates code, the tool executes it, and the LLM interprets the result. This fits 'prompt-chaining' (fixed sequence of LLM calls, each processing the previous output or context) more than routing or parallelization. The 'Question Handler' and 'Interpreter' are distinct steps in a chain.</t>
  </si>
  <si>
    <t xml:space="preserve">[R1] No conversation history or persistent memory is described; the question–code example repository is used for in-context prompting, not as agent memory. No self-critique or reflection is described, and Section 8 lists verification as an open challenge. Tool calls are fixed by the pipeline: the generated code is always fed to the supply chain tool or data repository, so the LLM does not decide at run time whether to call tools.
[R2] The LLM does not autonomously decide to call tools at runtime in an agentic loop (ReAct style); rather, the architecture is a fixed pipeline where the LLM's output (code) is deterministically passed to a tool. There is no mention of persistent memory across sessions or explicit self-critique/reflection loops. The 'tool use' is developer-fixed integration, not autonomous agent tool selection.</t>
  </si>
  <si>
    <t xml:space="preserve">[R1] Section 4 describes the method itself: the LLM translates what-if questions into 'mathematical code' that modifies the original mathematical model, for example by adding a constraint. The modified model is then fed to the supply chain tool (optimization solver), which produces a modified plan. Section 6, Example 2, deploys this with Microsoft's fulfillment optimization tools. The optimization is therefore part of the proposed pipeline, not just background. Caveat: this is a practitioner chapter, so the technical details of the optimization are sparse.
[R2] The paper explicitly describes a system where LLMs interact with 'supply chain planning tools' that use 'mathematical models, typically optimization methods' to generate recommendations (Section 4). It details how the LLM translates user queries into 'mathematical code' (constraints/changes to the model) which is then fed to the 'supply chain tool' (an optimization solver) to produce a modified plan (Section 4, Figure 1). Section 6 confirms Microsoft uses 'sophisticated optimization solvers' for fulfillment planning. The method's core value proposition is orchestrating these existing optimization tools via LLMs.</t>
  </si>
  <si>
    <t xml:space="preserve">MILP-LP</t>
  </si>
  <si>
    <t xml:space="preserve">[R1] '?' The paper never names the program type explicitly; it says only 'mathematical programs' with constraints and cost minimization. The assignment and shipping decisions with constraints (Section 6, Example 2) suggest a MILP, consistent with the OptiGuide work cited in [1] and [2]. This is an inference, not an explicit statement.
[R2] Section 4 states: 'supply chain planning tools use mathematical models, typically optimization methods... many optimization tasks are written in the form of mathematical programs'. Section 6 mentions 'sophisticated optimization solvers' for hardware deployment (assigning/shipping servers), which is a classic combinatorial optimization problem typically modeled as MILP/LP. The LLM generates 'mathematical code' (constraints) to modify these models. No evidence of RL, metaheuristics, or simulation-optimization as the primary paradigm for the core decision-making tools described.</t>
  </si>
  <si>
    <t xml:space="preserve">[R1] No specific solver is named. The paper refers only to 'optimization solvers' and 'supply chain tool (e.g., optimization solver)' in Sections 4 and 6.
[R2] The paper refers to 'optimization solvers' (Section 6) and 'supply chain planning tools' (Section 4) but does not name a specific commercial or open-source solver (e.g., Gurobi, CPLEX, COPT). It mentions 'sophisticated optimization solvers' in the context of Microsoft's internal tools but does not specify the brand or type (e.g., 'Gurobi'). Therefore, NR (Not Reported) is the correct value.</t>
  </si>
  <si>
    <t xml:space="preserve">test-set; field-deployment</t>
  </si>
  <si>
    <t xml:space="preserve">[R1] Section 6 'Evaluation and Deployment' describes a general evaluation methodology that creates a set of test questions for each example, some deliberately challenging (incorrect grammar, atypical questions). This supports 'test-set'. The system is deployed in production at Microsoft's cloud supply chain. The paper reports outcomes from operational use: about 90% accuracy, about 23% of fulfillment investigation time saved, and drift analysis reduced from about a week to minutes. This supports 'field-deployment'. The procurement examples in Section 7 (chemical manufacturer, automotive OEM) are anecdotal third-party reports rather than evaluations of the authors' own method, so they are not coded as multi-case. No structured user study is described; the planner quotes are anecdotal.
[R2] The paper describes a 'general evaluation methodology' involving 'creating a set of test questions' (Section 6, Evaluation and Deployment), which fits the 'test-set' definition. It also reports on the system being 'shipped in production' and used by planners at Microsoft, with observed outcomes like time savings (Section 6, User Experience and Impact), which fits 'field-deployment'.</t>
  </si>
  <si>
    <t xml:space="preserve">[R1] Artificial: test questions, including synthetic examples from other domains such as a manufacturing scenario with raw-material suppliers, factories and retailers (Sec. 6, Evaluation and Deployment). Naturalistic: production deployment with real Microsoft planners, showing time savings and productivity impact (Sec. 6, User Experience and Impact).
[R2] The evaluation includes artificial components (synthetic examples, test questions with incorrect grammar, Section 6) and naturalistic components (real users/planners at Microsoft using the system in production for demand drift and fulfillment analysis, Section 6).</t>
  </si>
  <si>
    <t xml:space="preserve">[R1] Sec. 6 compares against the manual pre-LLM process: drift analysis previously took planners about a week versus minutes now, and fulfillment questions previously took days via engineers versus minutes now. Testing different LLMs (GPT-4 in-context learning vs. fine-tuned Llama-2 and Phi-2) is a backbone swap and is not counted as a comparator.
[R2] The paper explicitly compares the LLM-based system's performance against the previous manual process where planners 'involve program managers, data scientists and engineers' and 'manually' analyzed data, taking 'several days' or 'about a week' (Section 6, Example 1 and User Experience and Impact). This is a comparison against the human/manual baseline.</t>
  </si>
  <si>
    <t xml:space="preserve">[R1] Testing was done by Microsoft research and product teams, the authors' own organization (Sec. 6). No external evaluators are mentioned.
[R2] The evaluation was conducted by the authors' team ('research and product teams') and the users are internal Microsoft planners. There is no mention of third-party external evaluators or blind testing by independent experts. The planners are 'partner employees' in the context of the authors' project (Microsoft Research/Microsoft).</t>
  </si>
  <si>
    <t xml:space="preserve">[R1] No number of test questions or number of users is reported.
[R2] The paper states that a 'set of test questions' was created but does not specify the number of questions, users, or records involved in the evaluation.</t>
  </si>
  <si>
    <t xml:space="preserve">[R1] No repeated runs are reported, and no LLM judging is described. Efficiency: the paper reports user-facing response time reductions (days to minutes) and time saved (about 23%). These count as latency- or time-related outcomes, though LLM cost and token usage are not quantified; this is borderline but marked true. No statistical tests are reported.
[R2] No information is provided on the number of repeated runs per test item. The evaluation appears to be based on accuracy of answers and user feedback/time savings, not on LLM-as-judge scoring. No cost, latency, or token usage metrics are reported. No statistical significance tests or confidence intervals are mentioned.
[v0.10.0 re-code] efficiency 'partially' (days → minutes, qualitative); data 'none' – check PDF for printed test items.</t>
  </si>
  <si>
    <t xml:space="preserve">[R1] Planners interact with LLM outputs inside the workflow, not only at the start and end. In the demand drift analysis (Sec. 6, Example 1), "The email also points out potential errors that planners can review and adjust." In interactive planning (Sec. 5), the LLM "may generate an alarm that the lead time from the supplier has increased", and then "the planner may ask the LLM-based technology to re-run the planning tool with the new lead time information." Planners also explore what-if scenarios through repeated queries (Sec. 4, Sec. 6 Example 2). Uncertainty: much of the interaction is plain query and answer, which on its own would not count.
[R2] The system explicitly describes a workflow where the LLM generates code or plans, but the human planner reviews, approves, or adjusts the results. Section 6 (Example 1) states: 'The email also points out potential errors that planners can review and adjust.' Section 6 (Example 2) notes planners 'confirm that it meets business needs'. Section 5 describes interactive planning where the planner 'may ask the LLM-based technology to re-run the planning tool'. This fits the 'approval-gate' and 'what-if-interface' patterns.</t>
  </si>
  <si>
    <t xml:space="preserve">[R1] Sec. 4: "A key idea behind our design is not to replace the mathematical model with LLMs but rather use the mathematical model in tandem with LLMs." The supply chain structure and business requirements are encoded in mathematical programs that the LLM modifies through code. Sec. 3: questions are translated into queries against "the company's data repository (e.g., a SQL database)". The question-code example repository used for in-context learning is few-shot material and is not counted.
[R2] The system relies on existing supply chain planning tools which use 'mathematical models, typically optimization methods' (Section 4). It also uses a 'large repository of questions and code answers' for in-context learning (Section 4). The data is stored in a 'SQL database' or 'data repository' (Section 3). These are explicit, machine-readable structures.</t>
  </si>
  <si>
    <t xml:space="preserve">[R1] Sec. 6, Evaluation and Deployment: "A general evaluation methodology has been developed... the methodology involves creating a set of test questions for each example. Some of the questions are challenging, for example include incorrect grammar, or atypical questions." Multiple models were compared (GPT-4 with in-context learning; fine-tuned Llama-2 and Phi-2), and the deployment "achieves around 90% accuracy." Uncertainty (?): the protocol is described only briefly and the scoring procedure is not detailed.
[R2] Section 6 ('Evaluation and Deployment') states: 'A general evaluation methodology has been developed to test the effectiveness of the LLM technology. In a nutshell, the methodology involves creating a set of test questions for each example.' It also mentions testing 'Multiple language models and training approaches' and achieving 'around 90% accuracy'. This constitutes a defined test set and metric.</t>
  </si>
  <si>
    <t xml:space="preserve">[R1] Information-acquisition: the LLM translates questions into database queries (Sec. 3) and ingests demand plans from different periods (Sec. 6). Information-analysis: drift root-cause identification ("The LLM automatically identifies the reason"), what-if impact analysis, and lead-time alarms and predictions (Sec. 5). Decision-selection: "insight and recommendation modules... (e.g., add a new transit lane between two locations). The insights and recommendations are generated by the LLM-based technology" (Sec. 6). The system can also generate new plans that avoid disrupted facilities through the optimization tool (Sec. 5). Action-implementation is not reported, since plans are not stated to be written into execution systems automatically.
[R2] Information-acquisition: The LLM translates natural language questions into SQL queries to fetch data from repositories (Section 3). Information-analysis: The LLM analyzes data to provide insights, explain decisions, and identify root causes of demand drift (Section 3, 6). Decision-selection: The LLM generates code to modify optimization models for what-if scenarios, effectively selecting a new plan/alternative for the human to review (Section 4, 5). It does not fully automate action-implementation as humans still confirm/execute the final plan.</t>
  </si>
  <si>
    <t xml:space="preserve">[R1] The system provides answers, alternative plans and recommendations (e.g., adding a transit lane, a new plan avoiding a disrupted facility), and planners decide. Planners "confirm that it meets business needs and ensure the execution" (Sec. 6). No autonomous implementation is described.
[R2] The system generates recommendations (plans, answers, insights) that the human planner must review, confirm, or adjust before they are acted upon. Section 6 states planners 'confirm that it meets business needs' and 'review and adjust' reports. Section 5 notes the planner 'may ask... to re-run' and the system 'reports back'. The system does not autonomously implement changes without human approval (Level 3 or 4).</t>
  </si>
  <si>
    <t xml:space="preserve">[R1] Section 4 / Figure 1 gives a high-level data flow: user question goes to a question handler, which feeds in-context learning to the LLM. The LLM emits application code, which goes to the supply chain tool, then to an interpreter, then back to the LLM, which returns an answer. The paper states 'The basic idea is to generate a large repository of questions and code answers... see [1] for more details.' The paper does not give enough detail to replicate the system: prompt structure, example selection, code format, solver interface and the evaluation question set are all missing, and implementation details are deferred to [1]. This is a book chapter describing a framework and deployment experience.
[R2] The paper describes the high-level architecture (LLM translates query to code, code invokes optimization tool, output translated back) and mentions specific techniques like in-context learning and fine-tuning (Section 2, 4). However, it lacks specific implementation details such as the exact prompt structures, the specific API calls, or the code generation logic required for independent replication. It references [1] for more details on in-context learning, but the core method is described conceptually rather than procedurally.</t>
  </si>
  <si>
    <t xml:space="preserve">[R1] The study is a deployed industrial system (Microsoft cloud supply chain, Section 6). Reported results: 'The current deployment uses GPT-4 and achieves around 90% accuracy' and the system is 'estimated to have saved planners around 23% of fulfillment investigation time'. The authors also claim drift analysis now takes minutes instead of about a week. The paper does not report test set size, metric definition, variance or comparator numbers, though it mentions that Llama-2 and Phi-2 fine-tuning were tested. Procurement examples (Section 7) are anecdotal. Use cases are demonstrated, but quantitative context is missing.
[R2] The paper provides concrete case studies from Microsoft's cloud supply chain (Section 6) and procurement (Section 7). It reports specific outcomes like '90% accuracy' and '23% of fulfillment investigation time' saved. However, it does not provide detailed statistical analysis, variance, or a rigorous comparative baseline against non-LLM methods beyond anecdotal time savings. The evaluation methodology is described generally ('creating a set of test questions') without disclosing the specific test set or metrics calculation.</t>
  </si>
  <si>
    <t xml:space="preserve">[R1] Section 8 explicitly discusses several challenges: ambiguous questions ('Learning to ask questions'), 'Verifying correctness' ('we expect LLMs to occasionally produce wrong outputs'), data availability and privacy trade-offs, and cost/performance trade-offs (fine-tuning, RAG, SLMs). Section 5 notes the technology 'is not capable today of reliably modeling a more complex, industrial, environment.' Section 6 notes a gradual deployment that covers only the most common what-if questions.
[R2] Section 8 ('Discussion') explicitly addresses challenges and limitations. It discusses 'Learning to ask questions' (ambiguity), 'Verifying correctness' (hallucination/code errors), 'Data availability' (quality/privacy), and 'Understanding cost and performance tradeoffs'. It also notes in Section 5 that the technology is 'not capable today of reliably modeling a more complex, industrial, environment' for end-to-end decision making.</t>
  </si>
  <si>
    <t xml:space="preserve">[R1] Models are named only generically as 'GPT-4', 'Llama-2' and 'Phi-2' (Section 6, Evaluation and Deployment), with no snapshot or size given. No prompts are shown; only the in-context learning approach of appending question-code pairs is described, with details deferred to [1]. No temperature or other decoding settings are given. No code or data links are provided, and the deployment data is proprietary to Microsoft. No query dates are reported.
[R2] Model Version: The paper mentions 'GPT-4', 'Llama-2', and 'Phi-2' but does not provide specific snapshot dates or version numbers (e.g., gpt-4-0613). Prompts: The paper describes the *type* of prompts (in-context learning with examples, translating to mathematical code) and gives examples of user questions, but does not provide the full prompt templates or system prompts verbatim. Decoding Params: No temperature, top-p, or max tokens are mentioned. Code: No public repository link is provided. Data: The test questions and evaluation data are not made publicly available. Run Date: No specific date or period for the model queries is reported.
[v0.10.0 re-code] efficiency 'partially' (days → minutes, qualitative); data 'none' – check PDF for printed test items.</t>
  </si>
  <si>
    <t xml:space="preserve">0.9.0</t>
  </si>
  <si>
    <t xml:space="preserve">what-if-interface; human-override; iterative-feedback</t>
  </si>
  <si>
    <t xml:space="preserve">metric_index</t>
  </si>
  <si>
    <t xml:space="preserve">metric</t>
  </si>
  <si>
    <t xml:space="preserve">value</t>
  </si>
  <si>
    <t xml:space="preserve">unit</t>
  </si>
  <si>
    <t xml:space="preserve">context</t>
  </si>
  <si>
    <t xml:space="preserve">page_section_reference</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</si>
</sst>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i val="true"/>
      <sz val="8"/>
      <color rgb="FF59595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F2CC"/>
        <bgColor rgb="FFE2EFDA"/>
      </patternFill>
    </fill>
    <fill>
      <patternFill patternType="solid">
        <fgColor rgb="FFE2EFDA"/>
        <bgColor rgb="FFDDEBF7"/>
      </patternFill>
    </fill>
    <fill>
      <patternFill patternType="solid">
        <fgColor rgb="FFFFE699"/>
        <bgColor rgb="FFFFF2CC"/>
      </patternFill>
    </fill>
    <fill>
      <patternFill patternType="solid">
        <fgColor rgb="FFDDEBF7"/>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F8CBAD"/>
        </patternFill>
      </fill>
    </dxf>
    <dxf>
      <fill>
        <patternFill patternType="solid">
          <fgColor rgb="FF1F3864"/>
          <bgColor rgb="FF000000"/>
        </patternFill>
      </fill>
    </dxf>
    <dxf>
      <fill>
        <patternFill patternType="solid">
          <fgColor rgb="FFE2EFDA"/>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patternType="solid">
          <fgColor rgb="FFDDEBF7"/>
          <bgColor rgb="FF000000"/>
        </patternFill>
      </fill>
    </dxf>
    <dxf>
      <fill>
        <patternFill>
          <bgColor rgb="FFE2EFDA"/>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23.8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23.8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3"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row>
    <row r="24" customFormat="false" ht="15" hidden="false" customHeight="false" outlineLevel="0" collapsed="false">
      <c r="A24" s="3" t="s">
        <v>18</v>
      </c>
    </row>
    <row r="26" customFormat="false" ht="15" hidden="false" customHeight="false" outlineLevel="0" collapsed="false">
      <c r="A26" s="4" t="s">
        <v>19</v>
      </c>
    </row>
    <row r="27" customFormat="false" ht="15" hidden="false" customHeight="false" outlineLevel="0" collapsed="false">
      <c r="A27"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9"/>
    <col collapsed="false" customWidth="true" hidden="false" outlineLevel="0" max="6" min="6" style="0" width="10"/>
    <col collapsed="false" customWidth="true" hidden="false" outlineLevel="0" max="7" min="7" style="0" width="11"/>
    <col collapsed="false" customWidth="true" hidden="false" outlineLevel="0" max="8" min="8" style="0" width="9"/>
    <col collapsed="false" customWidth="true" hidden="false" outlineLevel="0" max="13" min="9" style="0" width="11"/>
  </cols>
  <sheetData>
    <row r="1" customFormat="false" ht="15" hidden="false" customHeight="false" outlineLevel="0" collapsed="false">
      <c r="A1" s="5" t="s">
        <v>21</v>
      </c>
    </row>
    <row r="2" customFormat="false" ht="26.85" hidden="false" customHeight="false" outlineLevel="0" collapsed="false">
      <c r="A2" s="6" t="s">
        <v>22</v>
      </c>
      <c r="B2" s="6" t="s">
        <v>23</v>
      </c>
      <c r="C2" s="6" t="s">
        <v>24</v>
      </c>
      <c r="D2" s="6" t="s">
        <v>25</v>
      </c>
      <c r="E2" s="6" t="s">
        <v>26</v>
      </c>
      <c r="F2" s="6" t="s">
        <v>27</v>
      </c>
      <c r="G2" s="6" t="s">
        <v>28</v>
      </c>
      <c r="H2" s="6" t="s">
        <v>29</v>
      </c>
      <c r="I2" s="6" t="s">
        <v>30</v>
      </c>
      <c r="J2" s="6" t="s">
        <v>31</v>
      </c>
      <c r="K2" s="6" t="s">
        <v>32</v>
      </c>
      <c r="L2" s="6" t="s">
        <v>33</v>
      </c>
      <c r="M2" s="6" t="s">
        <v>34</v>
      </c>
    </row>
    <row r="3" customFormat="false" ht="15" hidden="false" customHeight="false" outlineLevel="0" collapsed="false">
      <c r="A3" s="7" t="s">
        <v>35</v>
      </c>
      <c r="B3" s="7" t="n">
        <f aca="false">COUNTIFS(Comparison!$B$2:$B$164,$A3,Comparison!$F$2:$F$164,"High")</f>
        <v>13</v>
      </c>
      <c r="C3" s="7" t="n">
        <f aca="false">COUNTIFS(Comparison!$B$2:$B$164,$A3,Comparison!$F$2:$F$164,"Medium")</f>
        <v>11</v>
      </c>
      <c r="D3" s="7" t="n">
        <f aca="false">COUNTIFS(Comparison!$B$2:$B$164,$A3,Comparison!$F$2:$F$164,"Low")</f>
        <v>1</v>
      </c>
      <c r="E3" s="7" t="n">
        <f aca="false">SUM(B3:D3)</f>
        <v>25</v>
      </c>
      <c r="F3" s="7" t="n">
        <f aca="false">COUNTIFS(Comparison!$B$2:$B$164,$A3,Comparison!$N$2:$N$164,"Resolved")</f>
        <v>25</v>
      </c>
      <c r="G3" s="7" t="n">
        <f aca="false">COUNTIFS(Comparison!$B$2:$B$164,$A3,Comparison!$N$2:$N$164,"Escalate-R3")</f>
        <v>0</v>
      </c>
      <c r="H3" s="7" t="n">
        <f aca="false">E3-F3</f>
        <v>0</v>
      </c>
      <c r="I3" s="8" t="n">
        <f aca="false">IF(E3=0,1,F3/E3)</f>
        <v>1</v>
      </c>
      <c r="J3" s="7" t="n">
        <f aca="false">COUNTIFS(Metrics_Comparison!$A$2:$A$80,$A3,Metrics_Comparison!$B$2:$B$80,"Identical")</f>
        <v>0</v>
      </c>
      <c r="K3" s="7" t="n">
        <f aca="false">COUNTIFS(Metrics_Comparison!$A$2:$A$80,$A3,Metrics_Comparison!$B$2:$B$80,"Matched – differs")</f>
        <v>4</v>
      </c>
      <c r="L3" s="7" t="n">
        <f aca="false">COUNTIFS(Metrics_Comparison!$A$2:$A$80,$A3,Metrics_Comparison!$B$2:$B$80,"Only R1")</f>
        <v>11</v>
      </c>
      <c r="M3" s="7" t="n">
        <f aca="false">COUNTIFS(Metrics_Comparison!$A$2:$A$80,$A3,Metrics_Comparison!$B$2:$B$80,"Only R2")</f>
        <v>8</v>
      </c>
    </row>
    <row r="4" customFormat="false" ht="15" hidden="false" customHeight="false" outlineLevel="0" collapsed="false">
      <c r="A4" s="7" t="s">
        <v>36</v>
      </c>
      <c r="B4" s="7" t="n">
        <f aca="false">COUNTIFS(Comparison!$B$2:$B$164,$A4,Comparison!$F$2:$F$164,"High")</f>
        <v>14</v>
      </c>
      <c r="C4" s="7" t="n">
        <f aca="false">COUNTIFS(Comparison!$B$2:$B$164,$A4,Comparison!$F$2:$F$164,"Medium")</f>
        <v>17</v>
      </c>
      <c r="D4" s="7" t="n">
        <f aca="false">COUNTIFS(Comparison!$B$2:$B$164,$A4,Comparison!$F$2:$F$164,"Low")</f>
        <v>0</v>
      </c>
      <c r="E4" s="7" t="n">
        <f aca="false">SUM(B4:D4)</f>
        <v>31</v>
      </c>
      <c r="F4" s="7" t="n">
        <f aca="false">COUNTIFS(Comparison!$B$2:$B$164,$A4,Comparison!$N$2:$N$164,"Resolved")</f>
        <v>31</v>
      </c>
      <c r="G4" s="7" t="n">
        <f aca="false">COUNTIFS(Comparison!$B$2:$B$164,$A4,Comparison!$N$2:$N$164,"Escalate-R3")</f>
        <v>0</v>
      </c>
      <c r="H4" s="7" t="n">
        <f aca="false">E4-F4</f>
        <v>0</v>
      </c>
      <c r="I4" s="8" t="n">
        <f aca="false">IF(E4=0,1,F4/E4)</f>
        <v>1</v>
      </c>
      <c r="J4" s="7" t="n">
        <f aca="false">COUNTIFS(Metrics_Comparison!$A$2:$A$80,$A4,Metrics_Comparison!$B$2:$B$80,"Identical")</f>
        <v>0</v>
      </c>
      <c r="K4" s="7" t="n">
        <f aca="false">COUNTIFS(Metrics_Comparison!$A$2:$A$80,$A4,Metrics_Comparison!$B$2:$B$80,"Matched – differs")</f>
        <v>4</v>
      </c>
      <c r="L4" s="7" t="n">
        <f aca="false">COUNTIFS(Metrics_Comparison!$A$2:$A$80,$A4,Metrics_Comparison!$B$2:$B$80,"Only R1")</f>
        <v>0</v>
      </c>
      <c r="M4" s="7" t="n">
        <f aca="false">COUNTIFS(Metrics_Comparison!$A$2:$A$80,$A4,Metrics_Comparison!$B$2:$B$80,"Only R2")</f>
        <v>0</v>
      </c>
    </row>
    <row r="5" customFormat="false" ht="15" hidden="false" customHeight="false" outlineLevel="0" collapsed="false">
      <c r="A5" s="7" t="s">
        <v>37</v>
      </c>
      <c r="B5" s="7" t="n">
        <f aca="false">COUNTIFS(Comparison!$B$2:$B$164,$A5,Comparison!$F$2:$F$164,"High")</f>
        <v>22</v>
      </c>
      <c r="C5" s="7" t="n">
        <f aca="false">COUNTIFS(Comparison!$B$2:$B$164,$A5,Comparison!$F$2:$F$164,"Medium")</f>
        <v>17</v>
      </c>
      <c r="D5" s="7" t="n">
        <f aca="false">COUNTIFS(Comparison!$B$2:$B$164,$A5,Comparison!$F$2:$F$164,"Low")</f>
        <v>1</v>
      </c>
      <c r="E5" s="7" t="n">
        <f aca="false">SUM(B5:D5)</f>
        <v>40</v>
      </c>
      <c r="F5" s="7" t="n">
        <f aca="false">COUNTIFS(Comparison!$B$2:$B$164,$A5,Comparison!$N$2:$N$164,"Resolved")</f>
        <v>40</v>
      </c>
      <c r="G5" s="7" t="n">
        <f aca="false">COUNTIFS(Comparison!$B$2:$B$164,$A5,Comparison!$N$2:$N$164,"Escalate-R3")</f>
        <v>0</v>
      </c>
      <c r="H5" s="7" t="n">
        <f aca="false">E5-F5</f>
        <v>0</v>
      </c>
      <c r="I5" s="8" t="n">
        <f aca="false">IF(E5=0,1,F5/E5)</f>
        <v>1</v>
      </c>
      <c r="J5" s="7" t="n">
        <f aca="false">COUNTIFS(Metrics_Comparison!$A$2:$A$80,$A5,Metrics_Comparison!$B$2:$B$80,"Identical")</f>
        <v>0</v>
      </c>
      <c r="K5" s="7" t="n">
        <f aca="false">COUNTIFS(Metrics_Comparison!$A$2:$A$80,$A5,Metrics_Comparison!$B$2:$B$80,"Matched – differs")</f>
        <v>5</v>
      </c>
      <c r="L5" s="7" t="n">
        <f aca="false">COUNTIFS(Metrics_Comparison!$A$2:$A$80,$A5,Metrics_Comparison!$B$2:$B$80,"Only R1")</f>
        <v>10</v>
      </c>
      <c r="M5" s="7" t="n">
        <f aca="false">COUNTIFS(Metrics_Comparison!$A$2:$A$80,$A5,Metrics_Comparison!$B$2:$B$80,"Only R2")</f>
        <v>4</v>
      </c>
    </row>
    <row r="6" customFormat="false" ht="15" hidden="false" customHeight="false" outlineLevel="0" collapsed="false">
      <c r="A6" s="7" t="s">
        <v>38</v>
      </c>
      <c r="B6" s="7" t="n">
        <f aca="false">COUNTIFS(Comparison!$B$2:$B$164,$A6,Comparison!$F$2:$F$164,"High")</f>
        <v>17</v>
      </c>
      <c r="C6" s="7" t="n">
        <f aca="false">COUNTIFS(Comparison!$B$2:$B$164,$A6,Comparison!$F$2:$F$164,"Medium")</f>
        <v>17</v>
      </c>
      <c r="D6" s="7" t="n">
        <f aca="false">COUNTIFS(Comparison!$B$2:$B$164,$A6,Comparison!$F$2:$F$164,"Low")</f>
        <v>0</v>
      </c>
      <c r="E6" s="7" t="n">
        <f aca="false">SUM(B6:D6)</f>
        <v>34</v>
      </c>
      <c r="F6" s="7" t="n">
        <f aca="false">COUNTIFS(Comparison!$B$2:$B$164,$A6,Comparison!$N$2:$N$164,"Resolved")</f>
        <v>34</v>
      </c>
      <c r="G6" s="7" t="n">
        <f aca="false">COUNTIFS(Comparison!$B$2:$B$164,$A6,Comparison!$N$2:$N$164,"Escalate-R3")</f>
        <v>0</v>
      </c>
      <c r="H6" s="7" t="n">
        <f aca="false">E6-F6</f>
        <v>0</v>
      </c>
      <c r="I6" s="8" t="n">
        <f aca="false">IF(E6=0,1,F6/E6)</f>
        <v>1</v>
      </c>
      <c r="J6" s="7" t="n">
        <f aca="false">COUNTIFS(Metrics_Comparison!$A$2:$A$80,$A6,Metrics_Comparison!$B$2:$B$80,"Identical")</f>
        <v>0</v>
      </c>
      <c r="K6" s="7" t="n">
        <f aca="false">COUNTIFS(Metrics_Comparison!$A$2:$A$80,$A6,Metrics_Comparison!$B$2:$B$80,"Matched – differs")</f>
        <v>13</v>
      </c>
      <c r="L6" s="7" t="n">
        <f aca="false">COUNTIFS(Metrics_Comparison!$A$2:$A$80,$A6,Metrics_Comparison!$B$2:$B$80,"Only R1")</f>
        <v>16</v>
      </c>
      <c r="M6" s="7" t="n">
        <f aca="false">COUNTIFS(Metrics_Comparison!$A$2:$A$80,$A6,Metrics_Comparison!$B$2:$B$80,"Only R2")</f>
        <v>0</v>
      </c>
    </row>
    <row r="7" customFormat="false" ht="15" hidden="false" customHeight="false" outlineLevel="0" collapsed="false">
      <c r="A7" s="7" t="s">
        <v>39</v>
      </c>
      <c r="B7" s="7" t="n">
        <f aca="false">COUNTIFS(Comparison!$B$2:$B$164,$A7,Comparison!$F$2:$F$164,"High")</f>
        <v>16</v>
      </c>
      <c r="C7" s="7" t="n">
        <f aca="false">COUNTIFS(Comparison!$B$2:$B$164,$A7,Comparison!$F$2:$F$164,"Medium")</f>
        <v>17</v>
      </c>
      <c r="D7" s="7" t="n">
        <f aca="false">COUNTIFS(Comparison!$B$2:$B$164,$A7,Comparison!$F$2:$F$164,"Low")</f>
        <v>0</v>
      </c>
      <c r="E7" s="7" t="n">
        <f aca="false">SUM(B7:D7)</f>
        <v>33</v>
      </c>
      <c r="F7" s="7" t="n">
        <f aca="false">COUNTIFS(Comparison!$B$2:$B$164,$A7,Comparison!$N$2:$N$164,"Resolved")</f>
        <v>33</v>
      </c>
      <c r="G7" s="7" t="n">
        <f aca="false">COUNTIFS(Comparison!$B$2:$B$164,$A7,Comparison!$N$2:$N$164,"Escalate-R3")</f>
        <v>0</v>
      </c>
      <c r="H7" s="7" t="n">
        <f aca="false">E7-F7</f>
        <v>0</v>
      </c>
      <c r="I7" s="8" t="n">
        <f aca="false">IF(E7=0,1,F7/E7)</f>
        <v>1</v>
      </c>
      <c r="J7" s="7" t="n">
        <f aca="false">COUNTIFS(Metrics_Comparison!$A$2:$A$80,$A7,Metrics_Comparison!$B$2:$B$80,"Identical")</f>
        <v>0</v>
      </c>
      <c r="K7" s="7" t="n">
        <f aca="false">COUNTIFS(Metrics_Comparison!$A$2:$A$80,$A7,Metrics_Comparison!$B$2:$B$80,"Matched – differs")</f>
        <v>3</v>
      </c>
      <c r="L7" s="7" t="n">
        <f aca="false">COUNTIFS(Metrics_Comparison!$A$2:$A$80,$A7,Metrics_Comparison!$B$2:$B$80,"Only R1")</f>
        <v>1</v>
      </c>
      <c r="M7" s="7" t="n">
        <f aca="false">COUNTIFS(Metrics_Comparison!$A$2:$A$80,$A7,Metrics_Comparison!$B$2:$B$80,"Only R2")</f>
        <v>0</v>
      </c>
    </row>
    <row r="8" customFormat="false" ht="15" hidden="false" customHeight="false" outlineLevel="0" collapsed="false">
      <c r="A8" s="9" t="s">
        <v>26</v>
      </c>
      <c r="B8" s="9" t="n">
        <f aca="false">SUM(B3:B7)</f>
        <v>82</v>
      </c>
      <c r="C8" s="9" t="n">
        <f aca="false">SUM(C3:C7)</f>
        <v>79</v>
      </c>
      <c r="D8" s="9" t="n">
        <f aca="false">SUM(D3:D7)</f>
        <v>2</v>
      </c>
      <c r="E8" s="9" t="n">
        <f aca="false">SUM(E3:E7)</f>
        <v>163</v>
      </c>
      <c r="F8" s="9" t="n">
        <f aca="false">SUM(F3:F7)</f>
        <v>163</v>
      </c>
      <c r="G8" s="9" t="n">
        <f aca="false">SUM(G3:G7)</f>
        <v>0</v>
      </c>
      <c r="H8" s="9" t="n">
        <f aca="false">SUM(H3:H7)</f>
        <v>0</v>
      </c>
      <c r="I8" s="10" t="n">
        <f aca="false">IF(E8=0,1,F8/E8)</f>
        <v>1</v>
      </c>
      <c r="J8" s="9" t="n">
        <f aca="false">SUM(J3:J7)</f>
        <v>0</v>
      </c>
      <c r="K8" s="9" t="n">
        <f aca="false">SUM(K3:K7)</f>
        <v>29</v>
      </c>
      <c r="L8" s="9" t="n">
        <f aca="false">SUM(L3:L7)</f>
        <v>38</v>
      </c>
      <c r="M8" s="9" t="n">
        <f aca="false">SUM(M3:M7)</f>
        <v>12</v>
      </c>
    </row>
    <row r="10" customFormat="false" ht="15" hidden="false" customHeight="false" outlineLevel="0" collapsed="false">
      <c r="A10" s="5" t="s">
        <v>40</v>
      </c>
    </row>
    <row r="11" customFormat="false" ht="15" hidden="false" customHeight="false" outlineLevel="0" collapsed="false">
      <c r="A11" s="6" t="s">
        <v>41</v>
      </c>
      <c r="B11" s="6" t="s">
        <v>23</v>
      </c>
      <c r="C11" s="6" t="s">
        <v>24</v>
      </c>
      <c r="D11" s="6" t="s">
        <v>25</v>
      </c>
      <c r="E11" s="6" t="s">
        <v>26</v>
      </c>
      <c r="F11" s="6" t="s">
        <v>27</v>
      </c>
      <c r="G11" s="6" t="s">
        <v>29</v>
      </c>
    </row>
    <row r="12" customFormat="false" ht="15" hidden="false" customHeight="false" outlineLevel="0" collapsed="false">
      <c r="A12" s="7" t="s">
        <v>42</v>
      </c>
      <c r="B12" s="7" t="n">
        <f aca="false">COUNTIFS(Comparison!$C$2:$C$164,$A12,Comparison!$F$2:$F$164,"High")</f>
        <v>0</v>
      </c>
      <c r="C12" s="7" t="n">
        <f aca="false">COUNTIFS(Comparison!$C$2:$C$164,$A12,Comparison!$F$2:$F$164,"Medium")</f>
        <v>1</v>
      </c>
      <c r="D12" s="7" t="n">
        <f aca="false">COUNTIFS(Comparison!$C$2:$C$164,$A12,Comparison!$F$2:$F$164,"Low")</f>
        <v>0</v>
      </c>
      <c r="E12" s="7" t="n">
        <f aca="false">SUM(B12:D12)</f>
        <v>1</v>
      </c>
      <c r="F12" s="7" t="n">
        <f aca="false">COUNTIFS(Comparison!$C$2:$C$164,$A12,Comparison!$N$2:$N$164,"Resolved")</f>
        <v>1</v>
      </c>
      <c r="G12" s="7" t="n">
        <f aca="false">E12-F12</f>
        <v>0</v>
      </c>
    </row>
    <row r="13" customFormat="false" ht="15" hidden="false" customHeight="false" outlineLevel="0" collapsed="false">
      <c r="A13" s="7" t="s">
        <v>43</v>
      </c>
      <c r="B13" s="7" t="n">
        <f aca="false">COUNTIFS(Comparison!$C$2:$C$164,$A13,Comparison!$F$2:$F$164,"High")</f>
        <v>0</v>
      </c>
      <c r="C13" s="7" t="n">
        <f aca="false">COUNTIFS(Comparison!$C$2:$C$164,$A13,Comparison!$F$2:$F$164,"Medium")</f>
        <v>7</v>
      </c>
      <c r="D13" s="7" t="n">
        <f aca="false">COUNTIFS(Comparison!$C$2:$C$164,$A13,Comparison!$F$2:$F$164,"Low")</f>
        <v>0</v>
      </c>
      <c r="E13" s="7" t="n">
        <f aca="false">SUM(B13:D13)</f>
        <v>7</v>
      </c>
      <c r="F13" s="7" t="n">
        <f aca="false">COUNTIFS(Comparison!$C$2:$C$164,$A13,Comparison!$N$2:$N$164,"Resolved")</f>
        <v>7</v>
      </c>
      <c r="G13" s="7" t="n">
        <f aca="false">E13-F13</f>
        <v>0</v>
      </c>
    </row>
    <row r="14" customFormat="false" ht="15" hidden="false" customHeight="false" outlineLevel="0" collapsed="false">
      <c r="A14" s="7" t="s">
        <v>44</v>
      </c>
      <c r="B14" s="7" t="n">
        <f aca="false">COUNTIFS(Comparison!$C$2:$C$164,$A14,Comparison!$F$2:$F$164,"High")</f>
        <v>1</v>
      </c>
      <c r="C14" s="7" t="n">
        <f aca="false">COUNTIFS(Comparison!$C$2:$C$164,$A14,Comparison!$F$2:$F$164,"Medium")</f>
        <v>9</v>
      </c>
      <c r="D14" s="7" t="n">
        <f aca="false">COUNTIFS(Comparison!$C$2:$C$164,$A14,Comparison!$F$2:$F$164,"Low")</f>
        <v>2</v>
      </c>
      <c r="E14" s="7" t="n">
        <f aca="false">SUM(B14:D14)</f>
        <v>12</v>
      </c>
      <c r="F14" s="7" t="n">
        <f aca="false">COUNTIFS(Comparison!$C$2:$C$164,$A14,Comparison!$N$2:$N$164,"Resolved")</f>
        <v>12</v>
      </c>
      <c r="G14" s="7" t="n">
        <f aca="false">E14-F14</f>
        <v>0</v>
      </c>
    </row>
    <row r="15" customFormat="false" ht="15" hidden="false" customHeight="false" outlineLevel="0" collapsed="false">
      <c r="A15" s="7" t="s">
        <v>45</v>
      </c>
      <c r="B15" s="7" t="n">
        <f aca="false">COUNTIFS(Comparison!$C$2:$C$164,$A15,Comparison!$F$2:$F$164,"High")</f>
        <v>16</v>
      </c>
      <c r="C15" s="7" t="n">
        <f aca="false">COUNTIFS(Comparison!$C$2:$C$164,$A15,Comparison!$F$2:$F$164,"Medium")</f>
        <v>8</v>
      </c>
      <c r="D15" s="7" t="n">
        <f aca="false">COUNTIFS(Comparison!$C$2:$C$164,$A15,Comparison!$F$2:$F$164,"Low")</f>
        <v>0</v>
      </c>
      <c r="E15" s="7" t="n">
        <f aca="false">SUM(B15:D15)</f>
        <v>24</v>
      </c>
      <c r="F15" s="7" t="n">
        <f aca="false">COUNTIFS(Comparison!$C$2:$C$164,$A15,Comparison!$N$2:$N$164,"Resolved")</f>
        <v>24</v>
      </c>
      <c r="G15" s="7" t="n">
        <f aca="false">E15-F15</f>
        <v>0</v>
      </c>
    </row>
    <row r="16" customFormat="false" ht="15" hidden="false" customHeight="false" outlineLevel="0" collapsed="false">
      <c r="A16" s="7" t="s">
        <v>46</v>
      </c>
      <c r="B16" s="7" t="n">
        <f aca="false">COUNTIFS(Comparison!$C$2:$C$164,$A16,Comparison!$F$2:$F$164,"High")</f>
        <v>17</v>
      </c>
      <c r="C16" s="7" t="n">
        <f aca="false">COUNTIFS(Comparison!$C$2:$C$164,$A16,Comparison!$F$2:$F$164,"Medium")</f>
        <v>16</v>
      </c>
      <c r="D16" s="7" t="n">
        <f aca="false">COUNTIFS(Comparison!$C$2:$C$164,$A16,Comparison!$F$2:$F$164,"Low")</f>
        <v>0</v>
      </c>
      <c r="E16" s="7" t="n">
        <f aca="false">SUM(B16:D16)</f>
        <v>33</v>
      </c>
      <c r="F16" s="7" t="n">
        <f aca="false">COUNTIFS(Comparison!$C$2:$C$164,$A16,Comparison!$N$2:$N$164,"Resolved")</f>
        <v>33</v>
      </c>
      <c r="G16" s="7" t="n">
        <f aca="false">E16-F16</f>
        <v>0</v>
      </c>
    </row>
    <row r="17" customFormat="false" ht="15" hidden="false" customHeight="false" outlineLevel="0" collapsed="false">
      <c r="A17" s="7" t="s">
        <v>47</v>
      </c>
      <c r="B17" s="7" t="n">
        <f aca="false">COUNTIFS(Comparison!$C$2:$C$164,$A17,Comparison!$F$2:$F$164,"High")</f>
        <v>9</v>
      </c>
      <c r="C17" s="7" t="n">
        <f aca="false">COUNTIFS(Comparison!$C$2:$C$164,$A17,Comparison!$F$2:$F$164,"Medium")</f>
        <v>4</v>
      </c>
      <c r="D17" s="7" t="n">
        <f aca="false">COUNTIFS(Comparison!$C$2:$C$164,$A17,Comparison!$F$2:$F$164,"Low")</f>
        <v>0</v>
      </c>
      <c r="E17" s="7" t="n">
        <f aca="false">SUM(B17:D17)</f>
        <v>13</v>
      </c>
      <c r="F17" s="7" t="n">
        <f aca="false">COUNTIFS(Comparison!$C$2:$C$164,$A17,Comparison!$N$2:$N$164,"Resolved")</f>
        <v>13</v>
      </c>
      <c r="G17" s="7" t="n">
        <f aca="false">E17-F17</f>
        <v>0</v>
      </c>
    </row>
    <row r="18" customFormat="false" ht="15" hidden="false" customHeight="false" outlineLevel="0" collapsed="false">
      <c r="A18" s="7" t="s">
        <v>48</v>
      </c>
      <c r="B18" s="7" t="n">
        <f aca="false">COUNTIFS(Comparison!$C$2:$C$164,$A18,Comparison!$F$2:$F$164,"High")</f>
        <v>8</v>
      </c>
      <c r="C18" s="7" t="n">
        <f aca="false">COUNTIFS(Comparison!$C$2:$C$164,$A18,Comparison!$F$2:$F$164,"Medium")</f>
        <v>19</v>
      </c>
      <c r="D18" s="7" t="n">
        <f aca="false">COUNTIFS(Comparison!$C$2:$C$164,$A18,Comparison!$F$2:$F$164,"Low")</f>
        <v>0</v>
      </c>
      <c r="E18" s="7" t="n">
        <f aca="false">SUM(B18:D18)</f>
        <v>27</v>
      </c>
      <c r="F18" s="7" t="n">
        <f aca="false">COUNTIFS(Comparison!$C$2:$C$164,$A18,Comparison!$N$2:$N$164,"Resolved")</f>
        <v>27</v>
      </c>
      <c r="G18" s="7" t="n">
        <f aca="false">E18-F18</f>
        <v>0</v>
      </c>
    </row>
    <row r="19" customFormat="false" ht="15" hidden="false" customHeight="false" outlineLevel="0" collapsed="false">
      <c r="A19" s="7" t="s">
        <v>49</v>
      </c>
      <c r="B19" s="7" t="n">
        <f aca="false">COUNTIFS(Comparison!$C$2:$C$164,$A19,Comparison!$F$2:$F$164,"High")</f>
        <v>4</v>
      </c>
      <c r="C19" s="7" t="n">
        <f aca="false">COUNTIFS(Comparison!$C$2:$C$164,$A19,Comparison!$F$2:$F$164,"Medium")</f>
        <v>0</v>
      </c>
      <c r="D19" s="7" t="n">
        <f aca="false">COUNTIFS(Comparison!$C$2:$C$164,$A19,Comparison!$F$2:$F$164,"Low")</f>
        <v>0</v>
      </c>
      <c r="E19" s="7" t="n">
        <f aca="false">SUM(B19:D19)</f>
        <v>4</v>
      </c>
      <c r="F19" s="7" t="n">
        <f aca="false">COUNTIFS(Comparison!$C$2:$C$164,$A19,Comparison!$N$2:$N$164,"Resolved")</f>
        <v>4</v>
      </c>
      <c r="G19" s="7" t="n">
        <f aca="false">E19-F19</f>
        <v>0</v>
      </c>
    </row>
    <row r="20" customFormat="false" ht="15" hidden="false" customHeight="false" outlineLevel="0" collapsed="false">
      <c r="A20" s="7" t="s">
        <v>50</v>
      </c>
      <c r="B20" s="7" t="n">
        <f aca="false">COUNTIFS(Comparison!$C$2:$C$164,$A20,Comparison!$F$2:$F$164,"High")</f>
        <v>0</v>
      </c>
      <c r="C20" s="7" t="n">
        <f aca="false">COUNTIFS(Comparison!$C$2:$C$164,$A20,Comparison!$F$2:$F$164,"Medium")</f>
        <v>0</v>
      </c>
      <c r="D20" s="7" t="n">
        <f aca="false">COUNTIFS(Comparison!$C$2:$C$164,$A20,Comparison!$F$2:$F$164,"Low")</f>
        <v>0</v>
      </c>
      <c r="E20" s="7" t="n">
        <f aca="false">SUM(B20:D20)</f>
        <v>0</v>
      </c>
      <c r="F20" s="7" t="n">
        <f aca="false">COUNTIFS(Comparison!$C$2:$C$164,$A20,Comparison!$N$2:$N$164,"Resolved")</f>
        <v>0</v>
      </c>
      <c r="G20" s="7" t="n">
        <f aca="false">E20-F20</f>
        <v>0</v>
      </c>
    </row>
    <row r="21" customFormat="false" ht="15" hidden="false" customHeight="false" outlineLevel="0" collapsed="false">
      <c r="A21" s="7" t="s">
        <v>51</v>
      </c>
      <c r="B21" s="7" t="n">
        <f aca="false">COUNTIFS(Comparison!$C$2:$C$164,$A21,Comparison!$F$2:$F$164,"High")</f>
        <v>15</v>
      </c>
      <c r="C21" s="7" t="n">
        <f aca="false">COUNTIFS(Comparison!$C$2:$C$164,$A21,Comparison!$F$2:$F$164,"Medium")</f>
        <v>15</v>
      </c>
      <c r="D21" s="7" t="n">
        <f aca="false">COUNTIFS(Comparison!$C$2:$C$164,$A21,Comparison!$F$2:$F$164,"Low")</f>
        <v>0</v>
      </c>
      <c r="E21" s="7" t="n">
        <f aca="false">SUM(B21:D21)</f>
        <v>30</v>
      </c>
      <c r="F21" s="7" t="n">
        <f aca="false">COUNTIFS(Comparison!$C$2:$C$164,$A21,Comparison!$N$2:$N$164,"Resolved")</f>
        <v>30</v>
      </c>
      <c r="G21" s="7" t="n">
        <f aca="false">E21-F21</f>
        <v>0</v>
      </c>
    </row>
    <row r="22" customFormat="false" ht="15" hidden="false" customHeight="false" outlineLevel="0" collapsed="false">
      <c r="A22" s="7" t="s">
        <v>52</v>
      </c>
      <c r="B22" s="7" t="n">
        <f aca="false">COUNTIFS(Comparison!$C$2:$C$164,$A22,Comparison!$F$2:$F$164,"High")</f>
        <v>12</v>
      </c>
      <c r="C22" s="7" t="n">
        <f aca="false">COUNTIFS(Comparison!$C$2:$C$164,$A22,Comparison!$F$2:$F$164,"Medium")</f>
        <v>0</v>
      </c>
      <c r="D22" s="7" t="n">
        <f aca="false">COUNTIFS(Comparison!$C$2:$C$164,$A22,Comparison!$F$2:$F$164,"Low")</f>
        <v>0</v>
      </c>
      <c r="E22" s="7" t="n">
        <f aca="false">SUM(B22:D22)</f>
        <v>12</v>
      </c>
      <c r="F22" s="7" t="n">
        <f aca="false">COUNTIFS(Comparison!$C$2:$C$164,$A22,Comparison!$N$2:$N$164,"Resolved")</f>
        <v>12</v>
      </c>
      <c r="G22" s="7" t="n">
        <f aca="false">E22-F22</f>
        <v>0</v>
      </c>
    </row>
    <row r="24" customFormat="false" ht="15" hidden="false" customHeight="false" outlineLevel="0" collapsed="false">
      <c r="A24" s="5" t="s">
        <v>53</v>
      </c>
    </row>
    <row r="25" customFormat="false" ht="39.55" hidden="false" customHeight="false" outlineLevel="0" collapsed="false">
      <c r="A25" s="6" t="s">
        <v>54</v>
      </c>
      <c r="B25" s="6" t="s">
        <v>55</v>
      </c>
      <c r="C25" s="6" t="s">
        <v>56</v>
      </c>
      <c r="D25" s="6" t="s">
        <v>57</v>
      </c>
    </row>
    <row r="26" customFormat="false" ht="23.85" hidden="false" customHeight="false" outlineLevel="0" collapsed="false">
      <c r="A26" s="7" t="s">
        <v>58</v>
      </c>
      <c r="B26" s="7" t="s">
        <v>59</v>
      </c>
      <c r="C26" s="7" t="n">
        <f aca="false">COUNTIFS(Comparison!$D$2:$D$164,$A26)</f>
        <v>0</v>
      </c>
      <c r="D26" s="8" t="n">
        <f aca="false">1-C26/5</f>
        <v>1</v>
      </c>
    </row>
    <row r="27" customFormat="false" ht="23.85" hidden="false" customHeight="false" outlineLevel="0" collapsed="false">
      <c r="A27" s="7" t="s">
        <v>60</v>
      </c>
      <c r="B27" s="7" t="s">
        <v>59</v>
      </c>
      <c r="C27" s="7" t="n">
        <f aca="false">COUNTIFS(Comparison!$D$2:$D$164,$A27)</f>
        <v>0</v>
      </c>
      <c r="D27" s="8" t="n">
        <f aca="false">1-C27/5</f>
        <v>1</v>
      </c>
    </row>
    <row r="28" customFormat="false" ht="15" hidden="false" customHeight="false" outlineLevel="0" collapsed="false">
      <c r="A28" s="7" t="s">
        <v>61</v>
      </c>
      <c r="B28" s="7" t="s">
        <v>62</v>
      </c>
      <c r="C28" s="7" t="n">
        <f aca="false">COUNTIFS(Comparison!$D$2:$D$164,$A28)</f>
        <v>0</v>
      </c>
      <c r="D28" s="8" t="n">
        <f aca="false">1-C28/5</f>
        <v>1</v>
      </c>
    </row>
    <row r="29" customFormat="false" ht="15" hidden="false" customHeight="false" outlineLevel="0" collapsed="false">
      <c r="A29" s="7" t="s">
        <v>63</v>
      </c>
      <c r="B29" s="7" t="s">
        <v>62</v>
      </c>
      <c r="C29" s="7" t="n">
        <f aca="false">COUNTIFS(Comparison!$D$2:$D$164,$A29)</f>
        <v>0</v>
      </c>
      <c r="D29" s="8" t="n">
        <f aca="false">1-C29/5</f>
        <v>1</v>
      </c>
    </row>
    <row r="30" customFormat="false" ht="15" hidden="false" customHeight="false" outlineLevel="0" collapsed="false">
      <c r="A30" s="7" t="s">
        <v>64</v>
      </c>
      <c r="B30" s="7" t="s">
        <v>62</v>
      </c>
      <c r="C30" s="7" t="n">
        <f aca="false">COUNTIFS(Comparison!$D$2:$D$164,$A30)</f>
        <v>0</v>
      </c>
      <c r="D30" s="8" t="n">
        <f aca="false">1-C30/5</f>
        <v>1</v>
      </c>
    </row>
    <row r="31" customFormat="false" ht="15" hidden="false" customHeight="false" outlineLevel="0" collapsed="false">
      <c r="A31" s="7" t="s">
        <v>65</v>
      </c>
      <c r="B31" s="7" t="s">
        <v>62</v>
      </c>
      <c r="C31" s="7" t="n">
        <f aca="false">COUNTIFS(Comparison!$D$2:$D$164,$A31)</f>
        <v>0</v>
      </c>
      <c r="D31" s="8" t="n">
        <f aca="false">1-C31/5</f>
        <v>1</v>
      </c>
    </row>
    <row r="32" customFormat="false" ht="15" hidden="false" customHeight="false" outlineLevel="0" collapsed="false">
      <c r="A32" s="7" t="s">
        <v>66</v>
      </c>
      <c r="B32" s="7" t="s">
        <v>62</v>
      </c>
      <c r="C32" s="7" t="n">
        <f aca="false">COUNTIFS(Comparison!$D$2:$D$164,$A32)</f>
        <v>0</v>
      </c>
      <c r="D32" s="8" t="n">
        <f aca="false">1-C32/5</f>
        <v>1</v>
      </c>
    </row>
    <row r="33" customFormat="false" ht="23.85" hidden="false" customHeight="false" outlineLevel="0" collapsed="false">
      <c r="A33" s="7" t="s">
        <v>67</v>
      </c>
      <c r="B33" s="7" t="s">
        <v>59</v>
      </c>
      <c r="C33" s="7" t="n">
        <f aca="false">COUNTIFS(Comparison!$D$2:$D$164,$A33)</f>
        <v>0</v>
      </c>
      <c r="D33" s="8" t="n">
        <f aca="false">1-C33/5</f>
        <v>1</v>
      </c>
    </row>
    <row r="34" customFormat="false" ht="15" hidden="false" customHeight="false" outlineLevel="0" collapsed="false">
      <c r="A34" s="7" t="s">
        <v>68</v>
      </c>
      <c r="B34" s="7" t="s">
        <v>62</v>
      </c>
      <c r="C34" s="7" t="n">
        <f aca="false">COUNTIFS(Comparison!$D$2:$D$164,$A34)</f>
        <v>0</v>
      </c>
      <c r="D34" s="8" t="n">
        <f aca="false">1-C34/5</f>
        <v>1</v>
      </c>
    </row>
    <row r="35" customFormat="false" ht="23.85" hidden="false" customHeight="false" outlineLevel="0" collapsed="false">
      <c r="A35" s="7" t="s">
        <v>69</v>
      </c>
      <c r="B35" s="7" t="s">
        <v>59</v>
      </c>
      <c r="C35" s="7" t="n">
        <f aca="false">COUNTIFS(Comparison!$D$2:$D$164,$A35)</f>
        <v>0</v>
      </c>
      <c r="D35" s="8" t="n">
        <f aca="false">1-C35/5</f>
        <v>1</v>
      </c>
    </row>
    <row r="36" customFormat="false" ht="23.85" hidden="false" customHeight="false" outlineLevel="0" collapsed="false">
      <c r="A36" s="7" t="s">
        <v>70</v>
      </c>
      <c r="B36" s="7" t="s">
        <v>59</v>
      </c>
      <c r="C36" s="7" t="n">
        <f aca="false">COUNTIFS(Comparison!$D$2:$D$164,$A36)</f>
        <v>0</v>
      </c>
      <c r="D36" s="8" t="n">
        <f aca="false">1-C36/5</f>
        <v>1</v>
      </c>
    </row>
    <row r="37" customFormat="false" ht="15" hidden="false" customHeight="false" outlineLevel="0" collapsed="false">
      <c r="A37" s="7" t="s">
        <v>71</v>
      </c>
      <c r="B37" s="7" t="s">
        <v>62</v>
      </c>
      <c r="C37" s="7" t="n">
        <f aca="false">COUNTIFS(Comparison!$D$2:$D$164,$A37)</f>
        <v>0</v>
      </c>
      <c r="D37" s="8" t="n">
        <f aca="false">1-C37/5</f>
        <v>1</v>
      </c>
    </row>
    <row r="38" customFormat="false" ht="15" hidden="false" customHeight="false" outlineLevel="0" collapsed="false">
      <c r="A38" s="7" t="s">
        <v>72</v>
      </c>
      <c r="B38" s="7" t="s">
        <v>62</v>
      </c>
      <c r="C38" s="7" t="n">
        <f aca="false">COUNTIFS(Comparison!$D$2:$D$164,$A38)</f>
        <v>0</v>
      </c>
      <c r="D38" s="8" t="n">
        <f aca="false">1-C38/5</f>
        <v>1</v>
      </c>
    </row>
    <row r="39" customFormat="false" ht="15" hidden="false" customHeight="false" outlineLevel="0" collapsed="false">
      <c r="A39" s="7" t="s">
        <v>73</v>
      </c>
      <c r="B39" s="7" t="s">
        <v>74</v>
      </c>
      <c r="C39" s="7" t="n">
        <f aca="false">COUNTIFS(Comparison!$D$2:$D$164,$A39)</f>
        <v>0</v>
      </c>
      <c r="D39" s="8" t="n">
        <f aca="false">1-C39/5</f>
        <v>1</v>
      </c>
    </row>
    <row r="40" customFormat="false" ht="23.85" hidden="false" customHeight="false" outlineLevel="0" collapsed="false">
      <c r="A40" s="7" t="s">
        <v>75</v>
      </c>
      <c r="B40" s="7" t="s">
        <v>59</v>
      </c>
      <c r="C40" s="7" t="n">
        <f aca="false">COUNTIFS(Comparison!$D$2:$D$164,$A40)</f>
        <v>0</v>
      </c>
      <c r="D40" s="8" t="n">
        <f aca="false">1-C40/5</f>
        <v>1</v>
      </c>
    </row>
    <row r="41" customFormat="false" ht="23.85" hidden="false" customHeight="false" outlineLevel="0" collapsed="false">
      <c r="A41" s="7" t="s">
        <v>76</v>
      </c>
      <c r="B41" s="7" t="s">
        <v>59</v>
      </c>
      <c r="C41" s="7" t="n">
        <f aca="false">COUNTIFS(Comparison!$D$2:$D$164,$A41)</f>
        <v>0</v>
      </c>
      <c r="D41" s="8" t="n">
        <f aca="false">1-C41/5</f>
        <v>1</v>
      </c>
    </row>
    <row r="42" customFormat="false" ht="15" hidden="false" customHeight="false" outlineLevel="0" collapsed="false">
      <c r="A42" s="7" t="s">
        <v>77</v>
      </c>
      <c r="B42" s="7" t="s">
        <v>62</v>
      </c>
      <c r="C42" s="7" t="n">
        <f aca="false">COUNTIFS(Comparison!$D$2:$D$164,$A42)</f>
        <v>0</v>
      </c>
      <c r="D42" s="8" t="n">
        <f aca="false">1-C42/5</f>
        <v>1</v>
      </c>
    </row>
    <row r="43" customFormat="false" ht="15" hidden="false" customHeight="false" outlineLevel="0" collapsed="false">
      <c r="A43" s="7" t="s">
        <v>78</v>
      </c>
      <c r="B43" s="7" t="s">
        <v>62</v>
      </c>
      <c r="C43" s="7" t="n">
        <f aca="false">COUNTIFS(Comparison!$D$2:$D$164,$A43)</f>
        <v>0</v>
      </c>
      <c r="D43" s="8" t="n">
        <f aca="false">1-C43/5</f>
        <v>1</v>
      </c>
    </row>
    <row r="44" customFormat="false" ht="23.85" hidden="false" customHeight="false" outlineLevel="0" collapsed="false">
      <c r="A44" s="7" t="s">
        <v>79</v>
      </c>
      <c r="B44" s="7" t="s">
        <v>62</v>
      </c>
      <c r="C44" s="7" t="n">
        <f aca="false">COUNTIFS(Comparison!$D$2:$D$164,$A44)</f>
        <v>0</v>
      </c>
      <c r="D44" s="8" t="n">
        <f aca="false">1-C44/5</f>
        <v>1</v>
      </c>
    </row>
    <row r="45" customFormat="false" ht="23.85" hidden="false" customHeight="false" outlineLevel="0" collapsed="false">
      <c r="A45" s="7" t="s">
        <v>80</v>
      </c>
      <c r="B45" s="7" t="s">
        <v>81</v>
      </c>
      <c r="C45" s="7" t="n">
        <f aca="false">COUNTIFS(Comparison!$D$2:$D$164,$A45)</f>
        <v>0</v>
      </c>
      <c r="D45" s="8" t="n">
        <f aca="false">1-C45/5</f>
        <v>1</v>
      </c>
    </row>
    <row r="46" customFormat="false" ht="23.85" hidden="false" customHeight="false" outlineLevel="0" collapsed="false">
      <c r="A46" s="7" t="s">
        <v>82</v>
      </c>
      <c r="B46" s="7" t="s">
        <v>81</v>
      </c>
      <c r="C46" s="7" t="n">
        <f aca="false">COUNTIFS(Comparison!$D$2:$D$164,$A46)</f>
        <v>0</v>
      </c>
      <c r="D46" s="8" t="n">
        <f aca="false">1-C46/5</f>
        <v>1</v>
      </c>
    </row>
    <row r="47" customFormat="false" ht="23.85" hidden="false" customHeight="false" outlineLevel="0" collapsed="false">
      <c r="A47" s="7" t="s">
        <v>83</v>
      </c>
      <c r="B47" s="7" t="s">
        <v>62</v>
      </c>
      <c r="C47" s="7" t="n">
        <f aca="false">COUNTIFS(Comparison!$D$2:$D$164,$A47)</f>
        <v>0</v>
      </c>
      <c r="D47" s="8" t="n">
        <f aca="false">1-C47/5</f>
        <v>1</v>
      </c>
    </row>
    <row r="48" customFormat="false" ht="23.85" hidden="false" customHeight="false" outlineLevel="0" collapsed="false">
      <c r="A48" s="7" t="s">
        <v>84</v>
      </c>
      <c r="B48" s="7" t="s">
        <v>81</v>
      </c>
      <c r="C48" s="7" t="n">
        <f aca="false">COUNTIFS(Comparison!$D$2:$D$164,$A48)</f>
        <v>0</v>
      </c>
      <c r="D48" s="8" t="n">
        <f aca="false">1-C48/5</f>
        <v>1</v>
      </c>
    </row>
    <row r="49" customFormat="false" ht="23.85" hidden="false" customHeight="false" outlineLevel="0" collapsed="false">
      <c r="A49" s="7" t="s">
        <v>85</v>
      </c>
      <c r="B49" s="7" t="s">
        <v>81</v>
      </c>
      <c r="C49" s="7" t="n">
        <f aca="false">COUNTIFS(Comparison!$D$2:$D$164,$A49)</f>
        <v>0</v>
      </c>
      <c r="D49" s="8" t="n">
        <f aca="false">1-C49/5</f>
        <v>1</v>
      </c>
    </row>
    <row r="50" customFormat="false" ht="23.85" hidden="false" customHeight="false" outlineLevel="0" collapsed="false">
      <c r="A50" s="7" t="s">
        <v>86</v>
      </c>
      <c r="B50" s="7" t="s">
        <v>59</v>
      </c>
      <c r="C50" s="7" t="n">
        <f aca="false">COUNTIFS(Comparison!$D$2:$D$164,$A50)</f>
        <v>0</v>
      </c>
      <c r="D50" s="8" t="n">
        <f aca="false">1-C50/5</f>
        <v>1</v>
      </c>
    </row>
    <row r="51" customFormat="false" ht="15" hidden="false" customHeight="false" outlineLevel="0" collapsed="false">
      <c r="A51" s="7" t="s">
        <v>87</v>
      </c>
      <c r="B51" s="7" t="s">
        <v>62</v>
      </c>
      <c r="C51" s="7" t="n">
        <f aca="false">COUNTIFS(Comparison!$D$2:$D$164,$A51)</f>
        <v>0</v>
      </c>
      <c r="D51" s="8" t="n">
        <f aca="false">1-C51/5</f>
        <v>1</v>
      </c>
    </row>
    <row r="52" customFormat="false" ht="23.85" hidden="false" customHeight="false" outlineLevel="0" collapsed="false">
      <c r="A52" s="7" t="s">
        <v>88</v>
      </c>
      <c r="B52" s="7" t="s">
        <v>81</v>
      </c>
      <c r="C52" s="7" t="n">
        <f aca="false">COUNTIFS(Comparison!$D$2:$D$164,$A52)</f>
        <v>0</v>
      </c>
      <c r="D52" s="8" t="n">
        <f aca="false">1-C52/5</f>
        <v>1</v>
      </c>
    </row>
    <row r="53" customFormat="false" ht="23.85" hidden="false" customHeight="false" outlineLevel="0" collapsed="false">
      <c r="A53" s="7" t="s">
        <v>89</v>
      </c>
      <c r="B53" s="7" t="s">
        <v>59</v>
      </c>
      <c r="C53" s="7" t="n">
        <f aca="false">COUNTIFS(Comparison!$D$2:$D$164,$A53)</f>
        <v>0</v>
      </c>
      <c r="D53" s="8" t="n">
        <f aca="false">1-C53/5</f>
        <v>1</v>
      </c>
    </row>
    <row r="54" customFormat="false" ht="23.85" hidden="false" customHeight="false" outlineLevel="0" collapsed="false">
      <c r="A54" s="7" t="s">
        <v>90</v>
      </c>
      <c r="B54" s="7" t="s">
        <v>74</v>
      </c>
      <c r="C54" s="7" t="n">
        <f aca="false">COUNTIFS(Comparison!$D$2:$D$164,$A54)</f>
        <v>0</v>
      </c>
      <c r="D54" s="8" t="n">
        <f aca="false">1-C54/5</f>
        <v>1</v>
      </c>
    </row>
    <row r="55" customFormat="false" ht="23.85" hidden="false" customHeight="false" outlineLevel="0" collapsed="false">
      <c r="A55" s="7" t="s">
        <v>91</v>
      </c>
      <c r="B55" s="7" t="s">
        <v>74</v>
      </c>
      <c r="C55" s="7" t="n">
        <f aca="false">COUNTIFS(Comparison!$D$2:$D$164,$A55)</f>
        <v>0</v>
      </c>
      <c r="D55" s="8" t="n">
        <f aca="false">1-C55/5</f>
        <v>1</v>
      </c>
    </row>
    <row r="56" customFormat="false" ht="23.85" hidden="false" customHeight="false" outlineLevel="0" collapsed="false">
      <c r="A56" s="7" t="s">
        <v>92</v>
      </c>
      <c r="B56" s="7" t="s">
        <v>62</v>
      </c>
      <c r="C56" s="7" t="n">
        <f aca="false">COUNTIFS(Comparison!$D$2:$D$164,$A56)</f>
        <v>0</v>
      </c>
      <c r="D56" s="8" t="n">
        <f aca="false">1-C56/5</f>
        <v>1</v>
      </c>
    </row>
    <row r="57" customFormat="false" ht="23.85" hidden="false" customHeight="false" outlineLevel="0" collapsed="false">
      <c r="A57" s="7" t="s">
        <v>93</v>
      </c>
      <c r="B57" s="7" t="s">
        <v>59</v>
      </c>
      <c r="C57" s="7" t="n">
        <f aca="false">COUNTIFS(Comparison!$D$2:$D$164,$A57)</f>
        <v>0</v>
      </c>
      <c r="D57" s="8" t="n">
        <f aca="false">1-C57/5</f>
        <v>1</v>
      </c>
    </row>
    <row r="58" customFormat="false" ht="23.85" hidden="false" customHeight="false" outlineLevel="0" collapsed="false">
      <c r="A58" s="7" t="s">
        <v>94</v>
      </c>
      <c r="B58" s="7" t="s">
        <v>62</v>
      </c>
      <c r="C58" s="7" t="n">
        <f aca="false">COUNTIFS(Comparison!$D$2:$D$164,$A58)</f>
        <v>0</v>
      </c>
      <c r="D58" s="8" t="n">
        <f aca="false">1-C58/5</f>
        <v>1</v>
      </c>
    </row>
    <row r="59" customFormat="false" ht="15" hidden="false" customHeight="false" outlineLevel="0" collapsed="false">
      <c r="A59" s="7" t="s">
        <v>95</v>
      </c>
      <c r="B59" s="7" t="s">
        <v>62</v>
      </c>
      <c r="C59" s="7" t="n">
        <f aca="false">COUNTIFS(Comparison!$D$2:$D$164,$A59)</f>
        <v>0</v>
      </c>
      <c r="D59" s="8" t="n">
        <f aca="false">1-C59/5</f>
        <v>1</v>
      </c>
    </row>
    <row r="60" customFormat="false" ht="23.85" hidden="false" customHeight="false" outlineLevel="0" collapsed="false">
      <c r="A60" s="7" t="s">
        <v>96</v>
      </c>
      <c r="B60" s="7" t="s">
        <v>81</v>
      </c>
      <c r="C60" s="7" t="n">
        <f aca="false">COUNTIFS(Comparison!$D$2:$D$164,$A60)</f>
        <v>0</v>
      </c>
      <c r="D60" s="8" t="n">
        <f aca="false">1-C60/5</f>
        <v>1</v>
      </c>
    </row>
    <row r="61" customFormat="false" ht="15" hidden="false" customHeight="false" outlineLevel="0" collapsed="false">
      <c r="A61" s="7" t="s">
        <v>97</v>
      </c>
      <c r="B61" s="7" t="s">
        <v>62</v>
      </c>
      <c r="C61" s="7" t="n">
        <f aca="false">COUNTIFS(Comparison!$D$2:$D$164,$A61)</f>
        <v>0</v>
      </c>
      <c r="D61" s="8" t="n">
        <f aca="false">1-C61/5</f>
        <v>1</v>
      </c>
    </row>
    <row r="62" customFormat="false" ht="23.85" hidden="false" customHeight="false" outlineLevel="0" collapsed="false">
      <c r="A62" s="7" t="s">
        <v>98</v>
      </c>
      <c r="B62" s="7" t="s">
        <v>81</v>
      </c>
      <c r="C62" s="7" t="n">
        <f aca="false">COUNTIFS(Comparison!$D$2:$D$164,$A62)</f>
        <v>0</v>
      </c>
      <c r="D62" s="8" t="n">
        <f aca="false">1-C62/5</f>
        <v>1</v>
      </c>
    </row>
    <row r="63" customFormat="false" ht="23.85" hidden="false" customHeight="false" outlineLevel="0" collapsed="false">
      <c r="A63" s="7" t="s">
        <v>99</v>
      </c>
      <c r="B63" s="7" t="s">
        <v>62</v>
      </c>
      <c r="C63" s="7" t="n">
        <f aca="false">COUNTIFS(Comparison!$D$2:$D$164,$A63)</f>
        <v>0</v>
      </c>
      <c r="D63" s="8" t="n">
        <f aca="false">1-C63/5</f>
        <v>1</v>
      </c>
    </row>
    <row r="64" customFormat="false" ht="23.85" hidden="false" customHeight="false" outlineLevel="0" collapsed="false">
      <c r="A64" s="7" t="s">
        <v>100</v>
      </c>
      <c r="B64" s="7" t="s">
        <v>59</v>
      </c>
      <c r="C64" s="7" t="n">
        <f aca="false">COUNTIFS(Comparison!$D$2:$D$164,$A64)</f>
        <v>0</v>
      </c>
      <c r="D64" s="8" t="n">
        <f aca="false">1-C64/5</f>
        <v>1</v>
      </c>
    </row>
    <row r="65" customFormat="false" ht="15" hidden="false" customHeight="false" outlineLevel="0" collapsed="false">
      <c r="A65" s="7" t="s">
        <v>101</v>
      </c>
      <c r="B65" s="7" t="s">
        <v>62</v>
      </c>
      <c r="C65" s="7" t="n">
        <f aca="false">COUNTIFS(Comparison!$D$2:$D$164,$A65)</f>
        <v>0</v>
      </c>
      <c r="D65" s="8" t="n">
        <f aca="false">1-C65/5</f>
        <v>1</v>
      </c>
    </row>
    <row r="66" customFormat="false" ht="23.85" hidden="false" customHeight="false" outlineLevel="0" collapsed="false">
      <c r="A66" s="7" t="s">
        <v>102</v>
      </c>
      <c r="B66" s="7" t="s">
        <v>59</v>
      </c>
      <c r="C66" s="7" t="n">
        <f aca="false">COUNTIFS(Comparison!$D$2:$D$164,$A66)</f>
        <v>0</v>
      </c>
      <c r="D66" s="8" t="n">
        <f aca="false">1-C66/5</f>
        <v>1</v>
      </c>
    </row>
    <row r="67" customFormat="false" ht="23.85" hidden="false" customHeight="false" outlineLevel="0" collapsed="false">
      <c r="A67" s="7" t="s">
        <v>103</v>
      </c>
      <c r="B67" s="7" t="s">
        <v>59</v>
      </c>
      <c r="C67" s="7" t="n">
        <f aca="false">COUNTIFS(Comparison!$D$2:$D$164,$A67)</f>
        <v>0</v>
      </c>
      <c r="D67" s="8" t="n">
        <f aca="false">1-C67/5</f>
        <v>1</v>
      </c>
    </row>
    <row r="68" customFormat="false" ht="23.85" hidden="false" customHeight="false" outlineLevel="0" collapsed="false">
      <c r="A68" s="7" t="s">
        <v>104</v>
      </c>
      <c r="B68" s="7" t="s">
        <v>59</v>
      </c>
      <c r="C68" s="7" t="n">
        <f aca="false">COUNTIFS(Comparison!$D$2:$D$164,$A68)</f>
        <v>0</v>
      </c>
      <c r="D68" s="8" t="n">
        <f aca="false">1-C68/5</f>
        <v>1</v>
      </c>
    </row>
    <row r="69" customFormat="false" ht="15" hidden="false" customHeight="false" outlineLevel="0" collapsed="false">
      <c r="A69" s="7" t="s">
        <v>105</v>
      </c>
      <c r="B69" s="7" t="s">
        <v>62</v>
      </c>
      <c r="C69" s="7" t="n">
        <f aca="false">COUNTIFS(Comparison!$D$2:$D$164,$A69)</f>
        <v>0</v>
      </c>
      <c r="D69" s="8" t="n">
        <f aca="false">1-C69/5</f>
        <v>1</v>
      </c>
    </row>
    <row r="70" customFormat="false" ht="15" hidden="false" customHeight="false" outlineLevel="0" collapsed="false">
      <c r="A70" s="7" t="s">
        <v>106</v>
      </c>
      <c r="B70" s="7" t="s">
        <v>62</v>
      </c>
      <c r="C70" s="7" t="n">
        <f aca="false">COUNTIFS(Comparison!$D$2:$D$164,$A70)</f>
        <v>0</v>
      </c>
      <c r="D70" s="8" t="n">
        <f aca="false">1-C70/5</f>
        <v>1</v>
      </c>
    </row>
    <row r="71" customFormat="false" ht="23.85" hidden="false" customHeight="false" outlineLevel="0" collapsed="false">
      <c r="A71" s="7" t="s">
        <v>107</v>
      </c>
      <c r="B71" s="7" t="s">
        <v>81</v>
      </c>
      <c r="C71" s="7" t="n">
        <f aca="false">COUNTIFS(Comparison!$D$2:$D$164,$A71)</f>
        <v>0</v>
      </c>
      <c r="D71" s="8" t="n">
        <f aca="false">1-C71/5</f>
        <v>1</v>
      </c>
    </row>
    <row r="72" customFormat="false" ht="23.85" hidden="false" customHeight="false" outlineLevel="0" collapsed="false">
      <c r="A72" s="7" t="s">
        <v>108</v>
      </c>
      <c r="B72" s="7" t="s">
        <v>62</v>
      </c>
      <c r="C72" s="7" t="n">
        <f aca="false">COUNTIFS(Comparison!$D$2:$D$164,$A72)</f>
        <v>0</v>
      </c>
      <c r="D72" s="8" t="n">
        <f aca="false">1-C72/5</f>
        <v>1</v>
      </c>
    </row>
    <row r="73" customFormat="false" ht="23.85" hidden="false" customHeight="false" outlineLevel="0" collapsed="false">
      <c r="A73" s="7" t="s">
        <v>109</v>
      </c>
      <c r="B73" s="7" t="s">
        <v>59</v>
      </c>
      <c r="C73" s="7" t="n">
        <f aca="false">COUNTIFS(Comparison!$D$2:$D$164,$A73)</f>
        <v>0</v>
      </c>
      <c r="D73" s="8" t="n">
        <f aca="false">1-C73/5</f>
        <v>1</v>
      </c>
    </row>
    <row r="74" customFormat="false" ht="23.85" hidden="false" customHeight="false" outlineLevel="0" collapsed="false">
      <c r="A74" s="7" t="s">
        <v>110</v>
      </c>
      <c r="B74" s="7" t="s">
        <v>81</v>
      </c>
      <c r="C74" s="7" t="n">
        <f aca="false">COUNTIFS(Comparison!$D$2:$D$164,$A74)</f>
        <v>0</v>
      </c>
      <c r="D74" s="8" t="n">
        <f aca="false">1-C74/5</f>
        <v>1</v>
      </c>
    </row>
    <row r="75" customFormat="false" ht="23.85" hidden="false" customHeight="false" outlineLevel="0" collapsed="false">
      <c r="A75" s="7" t="s">
        <v>111</v>
      </c>
      <c r="B75" s="7" t="s">
        <v>59</v>
      </c>
      <c r="C75" s="7" t="n">
        <f aca="false">COUNTIFS(Comparison!$D$2:$D$164,$A75)</f>
        <v>0</v>
      </c>
      <c r="D75" s="8" t="n">
        <f aca="false">1-C75/5</f>
        <v>1</v>
      </c>
    </row>
    <row r="76" customFormat="false" ht="15" hidden="false" customHeight="false" outlineLevel="0" collapsed="false">
      <c r="A76" s="7" t="s">
        <v>112</v>
      </c>
      <c r="B76" s="7" t="s">
        <v>74</v>
      </c>
      <c r="C76" s="7" t="n">
        <f aca="false">COUNTIFS(Comparison!$D$2:$D$164,$A76)</f>
        <v>0</v>
      </c>
      <c r="D76" s="8" t="n">
        <f aca="false">1-C76/5</f>
        <v>1</v>
      </c>
    </row>
    <row r="77" customFormat="false" ht="15" hidden="false" customHeight="false" outlineLevel="0" collapsed="false">
      <c r="A77" s="7" t="s">
        <v>113</v>
      </c>
      <c r="B77" s="7" t="s">
        <v>74</v>
      </c>
      <c r="C77" s="7" t="n">
        <f aca="false">COUNTIFS(Comparison!$D$2:$D$164,$A77)</f>
        <v>0</v>
      </c>
      <c r="D77" s="8" t="n">
        <f aca="false">1-C77/5</f>
        <v>1</v>
      </c>
    </row>
    <row r="78" customFormat="false" ht="23.85" hidden="false" customHeight="false" outlineLevel="0" collapsed="false">
      <c r="A78" s="7" t="s">
        <v>114</v>
      </c>
      <c r="B78" s="7" t="s">
        <v>81</v>
      </c>
      <c r="C78" s="7" t="n">
        <f aca="false">COUNTIFS(Comparison!$D$2:$D$164,$A78)</f>
        <v>0</v>
      </c>
      <c r="D78" s="8" t="n">
        <f aca="false">1-C78/5</f>
        <v>1</v>
      </c>
    </row>
    <row r="79" customFormat="false" ht="15" hidden="false" customHeight="false" outlineLevel="0" collapsed="false">
      <c r="A79" s="7" t="s">
        <v>115</v>
      </c>
      <c r="B79" s="7" t="s">
        <v>74</v>
      </c>
      <c r="C79" s="7" t="n">
        <f aca="false">COUNTIFS(Comparison!$D$2:$D$164,$A79)</f>
        <v>0</v>
      </c>
      <c r="D79" s="8" t="n">
        <f aca="false">1-C79/5</f>
        <v>1</v>
      </c>
    </row>
    <row r="80" customFormat="false" ht="23.85" hidden="false" customHeight="false" outlineLevel="0" collapsed="false">
      <c r="A80" s="7" t="s">
        <v>116</v>
      </c>
      <c r="B80" s="7" t="s">
        <v>59</v>
      </c>
      <c r="C80" s="7" t="n">
        <f aca="false">COUNTIFS(Comparison!$D$2:$D$164,$A80)</f>
        <v>0</v>
      </c>
      <c r="D80" s="8" t="n">
        <f aca="false">1-C80/5</f>
        <v>1</v>
      </c>
    </row>
    <row r="81" customFormat="false" ht="23.85" hidden="false" customHeight="false" outlineLevel="0" collapsed="false">
      <c r="A81" s="7" t="s">
        <v>117</v>
      </c>
      <c r="B81" s="7" t="s">
        <v>81</v>
      </c>
      <c r="C81" s="7" t="n">
        <f aca="false">COUNTIFS(Comparison!$D$2:$D$164,$A81)</f>
        <v>0</v>
      </c>
      <c r="D81" s="8" t="n">
        <f aca="false">1-C81/5</f>
        <v>1</v>
      </c>
    </row>
    <row r="82" customFormat="false" ht="23.85" hidden="false" customHeight="false" outlineLevel="0" collapsed="false">
      <c r="A82" s="7" t="s">
        <v>118</v>
      </c>
      <c r="B82" s="7" t="s">
        <v>62</v>
      </c>
      <c r="C82" s="7" t="n">
        <f aca="false">COUNTIFS(Comparison!$D$2:$D$164,$A82)</f>
        <v>0</v>
      </c>
      <c r="D82" s="8" t="n">
        <f aca="false">1-C82/5</f>
        <v>1</v>
      </c>
    </row>
    <row r="83" customFormat="false" ht="23.85" hidden="false" customHeight="false" outlineLevel="0" collapsed="false">
      <c r="A83" s="7" t="s">
        <v>119</v>
      </c>
      <c r="B83" s="7" t="s">
        <v>81</v>
      </c>
      <c r="C83" s="7" t="n">
        <f aca="false">COUNTIFS(Comparison!$D$2:$D$164,$A83)</f>
        <v>0</v>
      </c>
      <c r="D83" s="8" t="n">
        <f aca="false">1-C83/5</f>
        <v>1</v>
      </c>
    </row>
    <row r="84" customFormat="false" ht="15" hidden="false" customHeight="false" outlineLevel="0" collapsed="false">
      <c r="A84" s="7" t="s">
        <v>120</v>
      </c>
      <c r="B84" s="7" t="s">
        <v>62</v>
      </c>
      <c r="C84" s="7" t="n">
        <f aca="false">COUNTIFS(Comparison!$D$2:$D$164,$A84)</f>
        <v>0</v>
      </c>
      <c r="D84" s="8" t="n">
        <f aca="false">1-C84/5</f>
        <v>1</v>
      </c>
    </row>
    <row r="85" customFormat="false" ht="15" hidden="false" customHeight="false" outlineLevel="0" collapsed="false">
      <c r="A85" s="7" t="s">
        <v>121</v>
      </c>
      <c r="B85" s="7" t="s">
        <v>62</v>
      </c>
      <c r="C85" s="7" t="n">
        <f aca="false">COUNTIFS(Comparison!$D$2:$D$164,$A85)</f>
        <v>0</v>
      </c>
      <c r="D85" s="8" t="n">
        <f aca="false">1-C85/5</f>
        <v>1</v>
      </c>
    </row>
    <row r="86" customFormat="false" ht="23.85" hidden="false" customHeight="false" outlineLevel="0" collapsed="false">
      <c r="A86" s="7" t="s">
        <v>122</v>
      </c>
      <c r="B86" s="7" t="s">
        <v>81</v>
      </c>
      <c r="C86" s="7" t="n">
        <f aca="false">COUNTIFS(Comparison!$D$2:$D$164,$A86)</f>
        <v>0</v>
      </c>
      <c r="D86" s="8" t="n">
        <f aca="false">1-C86/5</f>
        <v>1</v>
      </c>
    </row>
    <row r="87" customFormat="false" ht="23.85" hidden="false" customHeight="false" outlineLevel="0" collapsed="false">
      <c r="A87" s="7" t="s">
        <v>123</v>
      </c>
      <c r="B87" s="7" t="s">
        <v>59</v>
      </c>
      <c r="C87" s="7" t="n">
        <f aca="false">COUNTIFS(Comparison!$D$2:$D$164,$A87)</f>
        <v>0</v>
      </c>
      <c r="D87" s="8" t="n">
        <f aca="false">1-C87/5</f>
        <v>1</v>
      </c>
    </row>
    <row r="88" customFormat="false" ht="23.85" hidden="false" customHeight="false" outlineLevel="0" collapsed="false">
      <c r="A88" s="7" t="s">
        <v>124</v>
      </c>
      <c r="B88" s="7" t="s">
        <v>62</v>
      </c>
      <c r="C88" s="7" t="n">
        <f aca="false">COUNTIFS(Comparison!$D$2:$D$164,$A88)</f>
        <v>0</v>
      </c>
      <c r="D88" s="8" t="n">
        <f aca="false">1-C88/5</f>
        <v>1</v>
      </c>
    </row>
    <row r="89" customFormat="false" ht="23.85" hidden="false" customHeight="false" outlineLevel="0" collapsed="false">
      <c r="A89" s="7" t="s">
        <v>125</v>
      </c>
      <c r="B89" s="7" t="s">
        <v>59</v>
      </c>
      <c r="C89" s="7" t="n">
        <f aca="false">COUNTIFS(Comparison!$D$2:$D$164,$A89)</f>
        <v>0</v>
      </c>
      <c r="D89" s="8" t="n">
        <f aca="false">1-C89/5</f>
        <v>1</v>
      </c>
    </row>
    <row r="90" customFormat="false" ht="23.85" hidden="false" customHeight="false" outlineLevel="0" collapsed="false">
      <c r="A90" s="7" t="s">
        <v>126</v>
      </c>
      <c r="B90" s="7" t="s">
        <v>59</v>
      </c>
      <c r="C90" s="7" t="n">
        <f aca="false">COUNTIFS(Comparison!$D$2:$D$164,$A90)</f>
        <v>0</v>
      </c>
      <c r="D90" s="8" t="n">
        <f aca="false">1-C90/5</f>
        <v>1</v>
      </c>
    </row>
    <row r="91" customFormat="false" ht="23.85" hidden="false" customHeight="false" outlineLevel="0" collapsed="false">
      <c r="A91" s="7" t="s">
        <v>127</v>
      </c>
      <c r="B91" s="7" t="s">
        <v>59</v>
      </c>
      <c r="C91" s="7" t="n">
        <f aca="false">COUNTIFS(Comparison!$D$2:$D$164,$A91)</f>
        <v>0</v>
      </c>
      <c r="D91" s="8" t="n">
        <f aca="false">1-C91/5</f>
        <v>1</v>
      </c>
    </row>
    <row r="92" customFormat="false" ht="15" hidden="false" customHeight="false" outlineLevel="0" collapsed="false">
      <c r="A92" s="7" t="s">
        <v>128</v>
      </c>
      <c r="B92" s="7" t="s">
        <v>62</v>
      </c>
      <c r="C92" s="7" t="n">
        <f aca="false">COUNTIFS(Comparison!$D$2:$D$164,$A92)</f>
        <v>0</v>
      </c>
      <c r="D92" s="8" t="n">
        <f aca="false">1-C92/5</f>
        <v>1</v>
      </c>
    </row>
    <row r="93" customFormat="false" ht="23.85" hidden="false" customHeight="false" outlineLevel="0" collapsed="false">
      <c r="A93" s="7" t="s">
        <v>129</v>
      </c>
      <c r="B93" s="7" t="s">
        <v>59</v>
      </c>
      <c r="C93" s="7" t="n">
        <f aca="false">COUNTIFS(Comparison!$D$2:$D$164,$A93)</f>
        <v>0</v>
      </c>
      <c r="D93" s="8" t="n">
        <f aca="false">1-C93/5</f>
        <v>1</v>
      </c>
    </row>
    <row r="94" customFormat="false" ht="15" hidden="false" customHeight="false" outlineLevel="0" collapsed="false">
      <c r="A94" s="7" t="s">
        <v>130</v>
      </c>
      <c r="B94" s="7" t="s">
        <v>74</v>
      </c>
      <c r="C94" s="7" t="n">
        <f aca="false">COUNTIFS(Comparison!$D$2:$D$164,$A94)</f>
        <v>0</v>
      </c>
      <c r="D94" s="8" t="n">
        <f aca="false">1-C94/5</f>
        <v>1</v>
      </c>
    </row>
    <row r="95" customFormat="false" ht="23.85" hidden="false" customHeight="false" outlineLevel="0" collapsed="false">
      <c r="A95" s="7" t="s">
        <v>131</v>
      </c>
      <c r="B95" s="7" t="s">
        <v>74</v>
      </c>
      <c r="C95" s="7" t="n">
        <f aca="false">COUNTIFS(Comparison!$D$2:$D$164,$A95)</f>
        <v>0</v>
      </c>
      <c r="D95" s="8" t="n">
        <f aca="false">1-C95/5</f>
        <v>1</v>
      </c>
    </row>
    <row r="96" customFormat="false" ht="15" hidden="false" customHeight="false" outlineLevel="0" collapsed="false">
      <c r="A96" s="7" t="s">
        <v>132</v>
      </c>
      <c r="B96" s="7" t="s">
        <v>74</v>
      </c>
      <c r="C96" s="7" t="n">
        <f aca="false">COUNTIFS(Comparison!$D$2:$D$164,$A96)</f>
        <v>0</v>
      </c>
      <c r="D96" s="8" t="n">
        <f aca="false">1-C96/5</f>
        <v>1</v>
      </c>
    </row>
    <row r="97" customFormat="false" ht="15" hidden="false" customHeight="false" outlineLevel="0" collapsed="false">
      <c r="A97" s="7" t="s">
        <v>133</v>
      </c>
      <c r="B97" s="7" t="s">
        <v>62</v>
      </c>
      <c r="C97" s="7" t="n">
        <f aca="false">COUNTIFS(Comparison!$D$2:$D$164,$A97)</f>
        <v>0</v>
      </c>
      <c r="D97" s="8" t="n">
        <f aca="false">1-C97/5</f>
        <v>1</v>
      </c>
    </row>
    <row r="98" customFormat="false" ht="15" hidden="false" customHeight="false" outlineLevel="0" collapsed="false">
      <c r="A98" s="7" t="s">
        <v>134</v>
      </c>
      <c r="B98" s="7" t="s">
        <v>62</v>
      </c>
      <c r="C98" s="7" t="n">
        <f aca="false">COUNTIFS(Comparison!$D$2:$D$164,$A98)</f>
        <v>0</v>
      </c>
      <c r="D98" s="8" t="n">
        <f aca="false">1-C98/5</f>
        <v>1</v>
      </c>
    </row>
    <row r="99" customFormat="false" ht="23.85" hidden="false" customHeight="false" outlineLevel="0" collapsed="false">
      <c r="A99" s="7" t="s">
        <v>135</v>
      </c>
      <c r="B99" s="7" t="s">
        <v>59</v>
      </c>
      <c r="C99" s="7" t="n">
        <f aca="false">COUNTIFS(Comparison!$D$2:$D$164,$A99)</f>
        <v>0</v>
      </c>
      <c r="D99" s="8" t="n">
        <f aca="false">1-C99/5</f>
        <v>1</v>
      </c>
    </row>
    <row r="100" customFormat="false" ht="23.85" hidden="false" customHeight="false" outlineLevel="0" collapsed="false">
      <c r="A100" s="7" t="s">
        <v>136</v>
      </c>
      <c r="B100" s="7" t="s">
        <v>59</v>
      </c>
      <c r="C100" s="7" t="n">
        <f aca="false">COUNTIFS(Comparison!$D$2:$D$164,$A100)</f>
        <v>0</v>
      </c>
      <c r="D100" s="8" t="n">
        <f aca="false">1-C100/5</f>
        <v>1</v>
      </c>
    </row>
    <row r="101" customFormat="false" ht="15" hidden="false" customHeight="false" outlineLevel="0" collapsed="false">
      <c r="A101" s="7" t="s">
        <v>137</v>
      </c>
      <c r="B101" s="7" t="s">
        <v>74</v>
      </c>
      <c r="C101" s="7" t="n">
        <f aca="false">COUNTIFS(Comparison!$D$2:$D$164,$A101)</f>
        <v>0</v>
      </c>
      <c r="D101" s="8" t="n">
        <f aca="false">1-C101/5</f>
        <v>1</v>
      </c>
    </row>
    <row r="102" customFormat="false" ht="23.85" hidden="false" customHeight="false" outlineLevel="0" collapsed="false">
      <c r="A102" s="7" t="s">
        <v>138</v>
      </c>
      <c r="B102" s="7" t="s">
        <v>81</v>
      </c>
      <c r="C102" s="7" t="n">
        <f aca="false">COUNTIFS(Comparison!$D$2:$D$164,$A102)</f>
        <v>0</v>
      </c>
      <c r="D102" s="8" t="n">
        <f aca="false">1-C102/5</f>
        <v>1</v>
      </c>
    </row>
    <row r="103" customFormat="false" ht="15" hidden="false" customHeight="false" outlineLevel="0" collapsed="false">
      <c r="A103" s="7" t="s">
        <v>139</v>
      </c>
      <c r="B103" s="7" t="s">
        <v>62</v>
      </c>
      <c r="C103" s="7" t="n">
        <f aca="false">COUNTIFS(Comparison!$D$2:$D$164,$A103)</f>
        <v>0</v>
      </c>
      <c r="D103" s="8" t="n">
        <f aca="false">1-C103/5</f>
        <v>1</v>
      </c>
    </row>
    <row r="104" customFormat="false" ht="15" hidden="false" customHeight="false" outlineLevel="0" collapsed="false">
      <c r="A104" s="7" t="s">
        <v>140</v>
      </c>
      <c r="B104" s="7" t="s">
        <v>62</v>
      </c>
      <c r="C104" s="7" t="n">
        <f aca="false">COUNTIFS(Comparison!$D$2:$D$164,$A104)</f>
        <v>0</v>
      </c>
      <c r="D104" s="8" t="n">
        <f aca="false">1-C104/5</f>
        <v>1</v>
      </c>
    </row>
    <row r="105" customFormat="false" ht="23.85" hidden="false" customHeight="false" outlineLevel="0" collapsed="false">
      <c r="A105" s="7" t="s">
        <v>141</v>
      </c>
      <c r="B105" s="7" t="s">
        <v>74</v>
      </c>
      <c r="C105" s="7" t="n">
        <f aca="false">COUNTIFS(Comparison!$D$2:$D$164,$A105)</f>
        <v>0</v>
      </c>
      <c r="D105" s="8" t="n">
        <f aca="false">1-C105/5</f>
        <v>1</v>
      </c>
    </row>
    <row r="106" customFormat="false" ht="23.85" hidden="false" customHeight="false" outlineLevel="0" collapsed="false">
      <c r="A106" s="7" t="s">
        <v>142</v>
      </c>
      <c r="B106" s="7" t="s">
        <v>81</v>
      </c>
      <c r="C106" s="7" t="n">
        <f aca="false">COUNTIFS(Comparison!$D$2:$D$164,$A106)</f>
        <v>0</v>
      </c>
      <c r="D106" s="8" t="n">
        <f aca="false">1-C106/5</f>
        <v>1</v>
      </c>
    </row>
    <row r="107" customFormat="false" ht="15" hidden="false" customHeight="false" outlineLevel="0" collapsed="false">
      <c r="A107" s="7" t="s">
        <v>143</v>
      </c>
      <c r="B107" s="7" t="s">
        <v>62</v>
      </c>
      <c r="C107" s="7" t="n">
        <f aca="false">COUNTIFS(Comparison!$D$2:$D$164,$A107)</f>
        <v>0</v>
      </c>
      <c r="D107" s="8" t="n">
        <f aca="false">1-C107/5</f>
        <v>1</v>
      </c>
    </row>
    <row r="108" customFormat="false" ht="23.85" hidden="false" customHeight="false" outlineLevel="0" collapsed="false">
      <c r="A108" s="7" t="s">
        <v>144</v>
      </c>
      <c r="B108" s="7" t="s">
        <v>62</v>
      </c>
      <c r="C108" s="7" t="n">
        <f aca="false">COUNTIFS(Comparison!$D$2:$D$164,$A108)</f>
        <v>0</v>
      </c>
      <c r="D108" s="8" t="n">
        <f aca="false">1-C108/5</f>
        <v>1</v>
      </c>
    </row>
    <row r="109" customFormat="false" ht="15" hidden="false" customHeight="false" outlineLevel="0" collapsed="false">
      <c r="A109" s="7" t="s">
        <v>145</v>
      </c>
      <c r="B109" s="7" t="s">
        <v>74</v>
      </c>
      <c r="C109" s="7" t="n">
        <f aca="false">COUNTIFS(Comparison!$D$2:$D$164,$A109)</f>
        <v>0</v>
      </c>
      <c r="D109" s="8" t="n">
        <f aca="false">1-C109/5</f>
        <v>1</v>
      </c>
    </row>
    <row r="110" customFormat="false" ht="23.85" hidden="false" customHeight="false" outlineLevel="0" collapsed="false">
      <c r="A110" s="7" t="s">
        <v>146</v>
      </c>
      <c r="B110" s="7" t="s">
        <v>81</v>
      </c>
      <c r="C110" s="7" t="n">
        <f aca="false">COUNTIFS(Comparison!$D$2:$D$164,$A110)</f>
        <v>0</v>
      </c>
      <c r="D110" s="8" t="n">
        <f aca="false">1-C110/5</f>
        <v>1</v>
      </c>
    </row>
    <row r="111" customFormat="false" ht="23.85" hidden="false" customHeight="false" outlineLevel="0" collapsed="false">
      <c r="A111" s="7" t="s">
        <v>147</v>
      </c>
      <c r="B111" s="7" t="s">
        <v>62</v>
      </c>
      <c r="C111" s="7" t="n">
        <f aca="false">COUNTIFS(Comparison!$D$2:$D$164,$A111)</f>
        <v>0</v>
      </c>
      <c r="D111" s="8" t="n">
        <f aca="false">1-C111/5</f>
        <v>1</v>
      </c>
    </row>
    <row r="112" customFormat="false" ht="23.85" hidden="false" customHeight="false" outlineLevel="0" collapsed="false">
      <c r="A112" s="7" t="s">
        <v>148</v>
      </c>
      <c r="B112" s="7" t="s">
        <v>62</v>
      </c>
      <c r="C112" s="7" t="n">
        <f aca="false">COUNTIFS(Comparison!$D$2:$D$164,$A112)</f>
        <v>0</v>
      </c>
      <c r="D112" s="8" t="n">
        <f aca="false">1-C112/5</f>
        <v>1</v>
      </c>
    </row>
    <row r="113" customFormat="false" ht="23.85" hidden="false" customHeight="false" outlineLevel="0" collapsed="false">
      <c r="A113" s="7" t="s">
        <v>149</v>
      </c>
      <c r="B113" s="7" t="s">
        <v>59</v>
      </c>
      <c r="C113" s="7" t="n">
        <f aca="false">COUNTIFS(Comparison!$D$2:$D$164,$A113)</f>
        <v>0</v>
      </c>
      <c r="D113" s="8" t="n">
        <f aca="false">1-C113/5</f>
        <v>1</v>
      </c>
    </row>
    <row r="114" customFormat="false" ht="23.85" hidden="false" customHeight="false" outlineLevel="0" collapsed="false">
      <c r="A114" s="7" t="s">
        <v>150</v>
      </c>
      <c r="B114" s="7" t="s">
        <v>59</v>
      </c>
      <c r="C114" s="7" t="n">
        <f aca="false">COUNTIFS(Comparison!$D$2:$D$164,$A114)</f>
        <v>0</v>
      </c>
      <c r="D114" s="8" t="n">
        <f aca="false">1-C114/5</f>
        <v>1</v>
      </c>
    </row>
    <row r="115" customFormat="false" ht="23.85" hidden="false" customHeight="false" outlineLevel="0" collapsed="false">
      <c r="A115" s="7" t="s">
        <v>151</v>
      </c>
      <c r="B115" s="7" t="s">
        <v>59</v>
      </c>
      <c r="C115" s="7" t="n">
        <f aca="false">COUNTIFS(Comparison!$D$2:$D$164,$A115)</f>
        <v>0</v>
      </c>
      <c r="D115" s="8" t="n">
        <f aca="false">1-C115/5</f>
        <v>1</v>
      </c>
    </row>
    <row r="116" customFormat="false" ht="23.85" hidden="false" customHeight="false" outlineLevel="0" collapsed="false">
      <c r="A116" s="7" t="s">
        <v>152</v>
      </c>
      <c r="B116" s="7" t="s">
        <v>59</v>
      </c>
      <c r="C116" s="7" t="n">
        <f aca="false">COUNTIFS(Comparison!$D$2:$D$164,$A116)</f>
        <v>0</v>
      </c>
      <c r="D116" s="8" t="n">
        <f aca="false">1-C116/5</f>
        <v>1</v>
      </c>
    </row>
    <row r="117" customFormat="false" ht="23.85" hidden="false" customHeight="false" outlineLevel="0" collapsed="false">
      <c r="A117" s="7" t="s">
        <v>153</v>
      </c>
      <c r="B117" s="7" t="s">
        <v>81</v>
      </c>
      <c r="C117" s="7" t="n">
        <f aca="false">COUNTIFS(Comparison!$D$2:$D$164,$A117)</f>
        <v>0</v>
      </c>
      <c r="D117" s="8" t="n">
        <f aca="false">1-C117/5</f>
        <v>1</v>
      </c>
    </row>
    <row r="118" customFormat="false" ht="23.85" hidden="false" customHeight="false" outlineLevel="0" collapsed="false">
      <c r="A118" s="7" t="s">
        <v>154</v>
      </c>
      <c r="B118" s="7" t="s">
        <v>59</v>
      </c>
      <c r="C118" s="7" t="n">
        <f aca="false">COUNTIFS(Comparison!$D$2:$D$164,$A118)</f>
        <v>0</v>
      </c>
      <c r="D118" s="8" t="n">
        <f aca="false">1-C118/5</f>
        <v>1</v>
      </c>
    </row>
    <row r="119" customFormat="false" ht="23.85" hidden="false" customHeight="false" outlineLevel="0" collapsed="false">
      <c r="A119" s="7" t="s">
        <v>155</v>
      </c>
      <c r="B119" s="7" t="s">
        <v>59</v>
      </c>
      <c r="C119" s="7" t="n">
        <f aca="false">COUNTIFS(Comparison!$D$2:$D$164,$A119)</f>
        <v>0</v>
      </c>
      <c r="D119" s="8" t="n">
        <f aca="false">1-C119/5</f>
        <v>1</v>
      </c>
    </row>
    <row r="120" customFormat="false" ht="23.85" hidden="false" customHeight="false" outlineLevel="0" collapsed="false">
      <c r="A120" s="7" t="s">
        <v>156</v>
      </c>
      <c r="B120" s="7" t="s">
        <v>59</v>
      </c>
      <c r="C120" s="7" t="n">
        <f aca="false">COUNTIFS(Comparison!$D$2:$D$164,$A120)</f>
        <v>0</v>
      </c>
      <c r="D120" s="8" t="n">
        <f aca="false">1-C120/5</f>
        <v>1</v>
      </c>
    </row>
    <row r="121" customFormat="false" ht="23.85" hidden="false" customHeight="false" outlineLevel="0" collapsed="false">
      <c r="A121" s="7" t="s">
        <v>157</v>
      </c>
      <c r="B121" s="7" t="s">
        <v>59</v>
      </c>
      <c r="C121" s="7" t="n">
        <f aca="false">COUNTIFS(Comparison!$D$2:$D$164,$A121)</f>
        <v>0</v>
      </c>
      <c r="D121" s="8" t="n">
        <f aca="false">1-C121/5</f>
        <v>1</v>
      </c>
    </row>
    <row r="122" customFormat="false" ht="23.85" hidden="false" customHeight="false" outlineLevel="0" collapsed="false">
      <c r="A122" s="7" t="s">
        <v>158</v>
      </c>
      <c r="B122" s="7" t="s">
        <v>59</v>
      </c>
      <c r="C122" s="7" t="n">
        <f aca="false">COUNTIFS(Comparison!$D$2:$D$164,$A122)</f>
        <v>0</v>
      </c>
      <c r="D122" s="8" t="n">
        <f aca="false">1-C122/5</f>
        <v>1</v>
      </c>
    </row>
    <row r="123" customFormat="false" ht="15" hidden="false" customHeight="false" outlineLevel="0" collapsed="false">
      <c r="A123" s="7" t="s">
        <v>159</v>
      </c>
      <c r="B123" s="7" t="s">
        <v>74</v>
      </c>
      <c r="C123" s="7" t="n">
        <f aca="false">COUNTIFS(Comparison!$D$2:$D$164,$A123)</f>
        <v>0</v>
      </c>
      <c r="D123" s="8" t="n">
        <f aca="false">1-C123/5</f>
        <v>1</v>
      </c>
    </row>
    <row r="124" customFormat="false" ht="23.85" hidden="false" customHeight="false" outlineLevel="0" collapsed="false">
      <c r="A124" s="7" t="s">
        <v>160</v>
      </c>
      <c r="B124" s="7" t="s">
        <v>59</v>
      </c>
      <c r="C124" s="7" t="n">
        <f aca="false">COUNTIFS(Comparison!$D$2:$D$164,$A124)</f>
        <v>0</v>
      </c>
      <c r="D124" s="8" t="n">
        <f aca="false">1-C124/5</f>
        <v>1</v>
      </c>
    </row>
    <row r="125" customFormat="false" ht="15" hidden="false" customHeight="false" outlineLevel="0" collapsed="false">
      <c r="A125" s="7" t="s">
        <v>161</v>
      </c>
      <c r="B125" s="7" t="s">
        <v>74</v>
      </c>
      <c r="C125" s="7" t="n">
        <f aca="false">COUNTIFS(Comparison!$D$2:$D$164,$A125)</f>
        <v>0</v>
      </c>
      <c r="D125" s="8" t="n">
        <f aca="false">1-C125/5</f>
        <v>1</v>
      </c>
    </row>
    <row r="126" customFormat="false" ht="15" hidden="false" customHeight="false" outlineLevel="0" collapsed="false">
      <c r="A126" s="7" t="s">
        <v>162</v>
      </c>
      <c r="B126" s="7" t="s">
        <v>74</v>
      </c>
      <c r="C126" s="7" t="n">
        <f aca="false">COUNTIFS(Comparison!$D$2:$D$164,$A126)</f>
        <v>0</v>
      </c>
      <c r="D126" s="8" t="n">
        <f aca="false">1-C126/5</f>
        <v>1</v>
      </c>
    </row>
    <row r="127" customFormat="false" ht="15" hidden="false" customHeight="false" outlineLevel="0" collapsed="false">
      <c r="A127" s="7" t="s">
        <v>163</v>
      </c>
      <c r="B127" s="7" t="s">
        <v>74</v>
      </c>
      <c r="C127" s="7" t="n">
        <f aca="false">COUNTIFS(Comparison!$D$2:$D$164,$A127)</f>
        <v>0</v>
      </c>
      <c r="D127" s="8" t="n">
        <f aca="false">1-C127/5</f>
        <v>1</v>
      </c>
    </row>
    <row r="128" customFormat="false" ht="15" hidden="false" customHeight="false" outlineLevel="0" collapsed="false">
      <c r="A128" s="7" t="s">
        <v>164</v>
      </c>
      <c r="B128" s="7" t="s">
        <v>74</v>
      </c>
      <c r="C128" s="7" t="n">
        <f aca="false">COUNTIFS(Comparison!$D$2:$D$164,$A128)</f>
        <v>0</v>
      </c>
      <c r="D128" s="8" t="n">
        <f aca="false">1-C128/5</f>
        <v>1</v>
      </c>
    </row>
    <row r="129" customFormat="false" ht="15" hidden="false" customHeight="false" outlineLevel="0" collapsed="false">
      <c r="A129" s="7" t="s">
        <v>165</v>
      </c>
      <c r="B129" s="7" t="s">
        <v>74</v>
      </c>
      <c r="C129" s="7" t="n">
        <f aca="false">COUNTIFS(Comparison!$D$2:$D$164,$A129)</f>
        <v>0</v>
      </c>
      <c r="D129" s="8" t="n">
        <f aca="false">1-C129/5</f>
        <v>1</v>
      </c>
    </row>
    <row r="130" customFormat="false" ht="15" hidden="false" customHeight="false" outlineLevel="0" collapsed="false">
      <c r="A130" s="7" t="s">
        <v>166</v>
      </c>
      <c r="B130" s="7" t="s">
        <v>74</v>
      </c>
      <c r="C130" s="7" t="n">
        <f aca="false">COUNTIFS(Comparison!$D$2:$D$164,$A130)</f>
        <v>0</v>
      </c>
      <c r="D130" s="8" t="n">
        <f aca="false">1-C130/5</f>
        <v>1</v>
      </c>
    </row>
    <row r="131" customFormat="false" ht="15" hidden="false" customHeight="false" outlineLevel="0" collapsed="false">
      <c r="A131" s="7" t="s">
        <v>167</v>
      </c>
      <c r="B131" s="7" t="s">
        <v>62</v>
      </c>
      <c r="C131" s="7" t="n">
        <f aca="false">COUNTIFS(Comparison!$D$2:$D$164,$A131)</f>
        <v>0</v>
      </c>
      <c r="D131" s="8" t="n">
        <f aca="false">1-C131/5</f>
        <v>1</v>
      </c>
    </row>
    <row r="132" customFormat="false" ht="23.85" hidden="false" customHeight="false" outlineLevel="0" collapsed="false">
      <c r="A132" s="7" t="s">
        <v>168</v>
      </c>
      <c r="B132" s="7" t="s">
        <v>59</v>
      </c>
      <c r="C132" s="7" t="n">
        <f aca="false">COUNTIFS(Comparison!$D$2:$D$164,$A132)</f>
        <v>0</v>
      </c>
      <c r="D132" s="8" t="n">
        <f aca="false">1-C132/5</f>
        <v>1</v>
      </c>
    </row>
  </sheetData>
  <conditionalFormatting sqref="D26:D132">
    <cfRule type="expression" priority="2" aboveAverage="0" equalAverage="0" bottom="0" percent="0" rank="0" text="" dxfId="0">
      <formula>D26&lt;0.8</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8"/>
    <col collapsed="false" customWidth="true" hidden="false" outlineLevel="0" max="4" min="4" style="0" width="55"/>
    <col collapsed="false" customWidth="true" hidden="false" outlineLevel="0" max="5" min="5" style="0" width="11"/>
    <col collapsed="false" customWidth="true" hidden="false" outlineLevel="0" max="6" min="6" style="0" width="9"/>
    <col collapsed="false" customWidth="true" hidden="false" outlineLevel="0" max="7" min="7" style="0" width="30"/>
    <col collapsed="false" customWidth="true" hidden="false" outlineLevel="0" max="9" min="8" style="0" width="40"/>
    <col collapsed="false" customWidth="true" hidden="false" outlineLevel="0" max="11" min="10" style="0" width="50"/>
    <col collapsed="false" customWidth="true" hidden="false" outlineLevel="0" max="12" min="12" style="0" width="32"/>
    <col collapsed="false" customWidth="true" hidden="false" outlineLevel="0" max="13" min="13" style="0" width="40"/>
    <col collapsed="false" customWidth="true" hidden="false" outlineLevel="0" max="14" min="14" style="0" width="13"/>
    <col collapsed="false" customWidth="true" hidden="false" outlineLevel="0" max="15" min="15" style="0" width="32"/>
    <col collapsed="false" customWidth="true" hidden="false" outlineLevel="0" max="16" min="16" style="0" width="11"/>
    <col collapsed="false" customWidth="true" hidden="false" outlineLevel="0" max="17" min="17" style="0" width="22"/>
    <col collapsed="false" customWidth="true" hidden="false" outlineLevel="0" max="18" min="18" style="0" width="50"/>
  </cols>
  <sheetData>
    <row r="1" customFormat="false" ht="26.85" hidden="false" customHeight="false" outlineLevel="0" collapsed="false">
      <c r="A1" s="6" t="s">
        <v>169</v>
      </c>
      <c r="B1" s="6" t="s">
        <v>22</v>
      </c>
      <c r="C1" s="6" t="s">
        <v>41</v>
      </c>
      <c r="D1" s="6" t="s">
        <v>54</v>
      </c>
      <c r="E1" s="6" t="s">
        <v>55</v>
      </c>
      <c r="F1" s="6" t="s">
        <v>11</v>
      </c>
      <c r="G1" s="6" t="s">
        <v>170</v>
      </c>
      <c r="H1" s="6" t="s">
        <v>171</v>
      </c>
      <c r="I1" s="6" t="s">
        <v>172</v>
      </c>
      <c r="J1" s="6" t="s">
        <v>173</v>
      </c>
      <c r="K1" s="6" t="s">
        <v>174</v>
      </c>
      <c r="L1" s="6" t="s">
        <v>175</v>
      </c>
      <c r="M1" s="6" t="s">
        <v>176</v>
      </c>
      <c r="N1" s="6" t="s">
        <v>177</v>
      </c>
      <c r="O1" s="6" t="s">
        <v>178</v>
      </c>
      <c r="P1" s="6" t="s">
        <v>179</v>
      </c>
      <c r="Q1" s="11" t="s">
        <v>180</v>
      </c>
      <c r="R1" s="11" t="s">
        <v>181</v>
      </c>
    </row>
    <row r="2" customFormat="false" ht="252.75" hidden="false" customHeight="true" outlineLevel="0" collapsed="false">
      <c r="A2" s="7" t="s">
        <v>182</v>
      </c>
      <c r="B2" s="7" t="s">
        <v>35</v>
      </c>
      <c r="C2" s="7" t="s">
        <v>44</v>
      </c>
      <c r="D2" s="9" t="s">
        <v>183</v>
      </c>
      <c r="E2" s="7" t="s">
        <v>59</v>
      </c>
      <c r="F2" s="12" t="s">
        <v>23</v>
      </c>
      <c r="G2" s="7" t="s">
        <v>184</v>
      </c>
      <c r="H2" s="7" t="s">
        <v>185</v>
      </c>
      <c r="I2" s="7" t="s">
        <v>186</v>
      </c>
      <c r="J2" s="7" t="s">
        <v>187</v>
      </c>
      <c r="K2" s="7" t="s">
        <v>188</v>
      </c>
      <c r="L2" s="13" t="s">
        <v>186</v>
      </c>
      <c r="M2" s="13" t="s">
        <v>189</v>
      </c>
      <c r="N2" s="13" t="s">
        <v>27</v>
      </c>
      <c r="O2" s="13"/>
      <c r="P2" s="13"/>
      <c r="Q2" s="7" t="s">
        <v>190</v>
      </c>
      <c r="R2" s="7"/>
    </row>
    <row r="3" customFormat="false" ht="90" hidden="false" customHeight="true" outlineLevel="0" collapsed="false">
      <c r="A3" s="7" t="s">
        <v>191</v>
      </c>
      <c r="B3" s="7" t="s">
        <v>35</v>
      </c>
      <c r="C3" s="7" t="s">
        <v>44</v>
      </c>
      <c r="D3" s="9" t="s">
        <v>192</v>
      </c>
      <c r="E3" s="7" t="s">
        <v>62</v>
      </c>
      <c r="F3" s="14" t="s">
        <v>25</v>
      </c>
      <c r="G3" s="7" t="s">
        <v>193</v>
      </c>
      <c r="H3" s="7" t="s">
        <v>194</v>
      </c>
      <c r="I3" s="7" t="s">
        <v>195</v>
      </c>
      <c r="J3" s="7" t="s">
        <v>196</v>
      </c>
      <c r="K3" s="7" t="s">
        <v>197</v>
      </c>
      <c r="L3" s="13" t="s">
        <v>194</v>
      </c>
      <c r="M3" s="13"/>
      <c r="N3" s="13" t="s">
        <v>27</v>
      </c>
      <c r="O3" s="13"/>
      <c r="P3" s="13" t="s">
        <v>198</v>
      </c>
      <c r="Q3" s="14" t="s">
        <v>199</v>
      </c>
      <c r="R3" s="7" t="s">
        <v>200</v>
      </c>
    </row>
    <row r="4" customFormat="false" ht="90" hidden="false" customHeight="true" outlineLevel="0" collapsed="false">
      <c r="A4" s="7" t="s">
        <v>201</v>
      </c>
      <c r="B4" s="7" t="s">
        <v>35</v>
      </c>
      <c r="C4" s="7" t="s">
        <v>44</v>
      </c>
      <c r="D4" s="9" t="s">
        <v>202</v>
      </c>
      <c r="E4" s="7" t="s">
        <v>62</v>
      </c>
      <c r="F4" s="15" t="s">
        <v>24</v>
      </c>
      <c r="G4" s="7" t="s">
        <v>203</v>
      </c>
      <c r="H4" s="7" t="s">
        <v>204</v>
      </c>
      <c r="I4" s="7" t="s">
        <v>205</v>
      </c>
      <c r="J4" s="7" t="s">
        <v>206</v>
      </c>
      <c r="K4" s="7" t="s">
        <v>207</v>
      </c>
      <c r="L4" s="13" t="s">
        <v>204</v>
      </c>
      <c r="M4" s="13"/>
      <c r="N4" s="13" t="s">
        <v>27</v>
      </c>
      <c r="O4" s="13"/>
      <c r="P4" s="13" t="s">
        <v>198</v>
      </c>
      <c r="Q4" s="14" t="s">
        <v>199</v>
      </c>
      <c r="R4" s="7" t="s">
        <v>208</v>
      </c>
    </row>
    <row r="5" customFormat="false" ht="252.75" hidden="false" customHeight="true" outlineLevel="0" collapsed="false">
      <c r="A5" s="7" t="s">
        <v>209</v>
      </c>
      <c r="B5" s="7" t="s">
        <v>35</v>
      </c>
      <c r="C5" s="7" t="s">
        <v>45</v>
      </c>
      <c r="D5" s="9" t="s">
        <v>210</v>
      </c>
      <c r="E5" s="7" t="s">
        <v>81</v>
      </c>
      <c r="F5" s="12" t="s">
        <v>23</v>
      </c>
      <c r="G5" s="7" t="s">
        <v>211</v>
      </c>
      <c r="H5" s="7" t="s">
        <v>212</v>
      </c>
      <c r="I5" s="7" t="s">
        <v>213</v>
      </c>
      <c r="J5" s="7" t="s">
        <v>214</v>
      </c>
      <c r="K5" s="7" t="s">
        <v>215</v>
      </c>
      <c r="L5" s="13" t="s">
        <v>212</v>
      </c>
      <c r="M5" s="13"/>
      <c r="N5" s="13" t="s">
        <v>27</v>
      </c>
      <c r="O5" s="13"/>
      <c r="P5" s="13"/>
      <c r="Q5" s="7" t="s">
        <v>190</v>
      </c>
      <c r="R5" s="7"/>
    </row>
    <row r="6" customFormat="false" ht="186.75" hidden="false" customHeight="true" outlineLevel="0" collapsed="false">
      <c r="A6" s="7" t="s">
        <v>216</v>
      </c>
      <c r="B6" s="7" t="s">
        <v>35</v>
      </c>
      <c r="C6" s="7" t="s">
        <v>45</v>
      </c>
      <c r="D6" s="9" t="s">
        <v>217</v>
      </c>
      <c r="E6" s="7" t="s">
        <v>81</v>
      </c>
      <c r="F6" s="12" t="s">
        <v>23</v>
      </c>
      <c r="G6" s="7" t="s">
        <v>218</v>
      </c>
      <c r="H6" s="7" t="s">
        <v>219</v>
      </c>
      <c r="I6" s="7" t="s">
        <v>220</v>
      </c>
      <c r="J6" s="7" t="s">
        <v>221</v>
      </c>
      <c r="K6" s="7" t="s">
        <v>222</v>
      </c>
      <c r="L6" s="13" t="s">
        <v>219</v>
      </c>
      <c r="M6" s="13"/>
      <c r="N6" s="13" t="s">
        <v>27</v>
      </c>
      <c r="O6" s="13"/>
      <c r="P6" s="13"/>
      <c r="Q6" s="7" t="s">
        <v>190</v>
      </c>
      <c r="R6" s="7"/>
    </row>
    <row r="7" customFormat="false" ht="186.75" hidden="false" customHeight="true" outlineLevel="0" collapsed="false">
      <c r="A7" s="7" t="s">
        <v>223</v>
      </c>
      <c r="B7" s="7" t="s">
        <v>35</v>
      </c>
      <c r="C7" s="7" t="s">
        <v>45</v>
      </c>
      <c r="D7" s="9" t="s">
        <v>224</v>
      </c>
      <c r="E7" s="7" t="s">
        <v>59</v>
      </c>
      <c r="F7" s="12" t="s">
        <v>23</v>
      </c>
      <c r="G7" s="7" t="s">
        <v>225</v>
      </c>
      <c r="H7" s="7"/>
      <c r="I7" s="7" t="s">
        <v>220</v>
      </c>
      <c r="J7" s="7" t="s">
        <v>226</v>
      </c>
      <c r="K7" s="7" t="s">
        <v>227</v>
      </c>
      <c r="L7" s="13"/>
      <c r="M7" s="13"/>
      <c r="N7" s="13" t="s">
        <v>27</v>
      </c>
      <c r="O7" s="13"/>
      <c r="P7" s="13"/>
      <c r="Q7" s="7" t="s">
        <v>190</v>
      </c>
      <c r="R7" s="7"/>
    </row>
    <row r="8" customFormat="false" ht="99" hidden="false" customHeight="true" outlineLevel="0" collapsed="false">
      <c r="A8" s="7" t="s">
        <v>228</v>
      </c>
      <c r="B8" s="7" t="s">
        <v>35</v>
      </c>
      <c r="C8" s="7" t="s">
        <v>45</v>
      </c>
      <c r="D8" s="9" t="s">
        <v>229</v>
      </c>
      <c r="E8" s="7" t="s">
        <v>74</v>
      </c>
      <c r="F8" s="12" t="s">
        <v>23</v>
      </c>
      <c r="G8" s="7" t="s">
        <v>230</v>
      </c>
      <c r="H8" s="7" t="s">
        <v>231</v>
      </c>
      <c r="I8" s="7" t="s">
        <v>232</v>
      </c>
      <c r="J8" s="7" t="s">
        <v>233</v>
      </c>
      <c r="K8" s="7" t="s">
        <v>234</v>
      </c>
      <c r="L8" s="13" t="s">
        <v>231</v>
      </c>
      <c r="M8" s="13"/>
      <c r="N8" s="13" t="s">
        <v>27</v>
      </c>
      <c r="O8" s="13"/>
      <c r="P8" s="13"/>
      <c r="Q8" s="7" t="s">
        <v>190</v>
      </c>
      <c r="R8" s="7"/>
    </row>
    <row r="9" customFormat="false" ht="90" hidden="false" customHeight="true" outlineLevel="0" collapsed="false">
      <c r="A9" s="7" t="s">
        <v>235</v>
      </c>
      <c r="B9" s="7" t="s">
        <v>35</v>
      </c>
      <c r="C9" s="7" t="s">
        <v>45</v>
      </c>
      <c r="D9" s="9" t="s">
        <v>236</v>
      </c>
      <c r="E9" s="7" t="s">
        <v>62</v>
      </c>
      <c r="F9" s="15" t="s">
        <v>24</v>
      </c>
      <c r="G9" s="7" t="s">
        <v>237</v>
      </c>
      <c r="H9" s="7" t="s">
        <v>238</v>
      </c>
      <c r="I9" s="7" t="s">
        <v>239</v>
      </c>
      <c r="J9" s="7"/>
      <c r="K9" s="7"/>
      <c r="L9" s="13" t="s">
        <v>238</v>
      </c>
      <c r="M9" s="13"/>
      <c r="N9" s="13" t="s">
        <v>27</v>
      </c>
      <c r="O9" s="13"/>
      <c r="P9" s="13" t="s">
        <v>198</v>
      </c>
      <c r="Q9" s="14" t="s">
        <v>240</v>
      </c>
      <c r="R9" s="7" t="s">
        <v>241</v>
      </c>
    </row>
    <row r="10" customFormat="false" ht="90" hidden="false" customHeight="true" outlineLevel="0" collapsed="false">
      <c r="A10" s="7" t="s">
        <v>242</v>
      </c>
      <c r="B10" s="7" t="s">
        <v>35</v>
      </c>
      <c r="C10" s="7" t="s">
        <v>46</v>
      </c>
      <c r="D10" s="9" t="s">
        <v>243</v>
      </c>
      <c r="E10" s="7" t="s">
        <v>62</v>
      </c>
      <c r="F10" s="15" t="s">
        <v>24</v>
      </c>
      <c r="G10" s="7" t="s">
        <v>244</v>
      </c>
      <c r="H10" s="7" t="s">
        <v>245</v>
      </c>
      <c r="I10" s="7" t="s">
        <v>246</v>
      </c>
      <c r="J10" s="7"/>
      <c r="K10" s="7"/>
      <c r="L10" s="13" t="s">
        <v>247</v>
      </c>
      <c r="M10" s="13"/>
      <c r="N10" s="13" t="s">
        <v>27</v>
      </c>
      <c r="O10" s="13"/>
      <c r="P10" s="13" t="s">
        <v>198</v>
      </c>
      <c r="Q10" s="14" t="s">
        <v>199</v>
      </c>
      <c r="R10" s="7" t="s">
        <v>248</v>
      </c>
    </row>
    <row r="11" customFormat="false" ht="90" hidden="false" customHeight="true" outlineLevel="0" collapsed="false">
      <c r="A11" s="7" t="s">
        <v>249</v>
      </c>
      <c r="B11" s="7" t="s">
        <v>35</v>
      </c>
      <c r="C11" s="7" t="s">
        <v>46</v>
      </c>
      <c r="D11" s="9" t="s">
        <v>250</v>
      </c>
      <c r="E11" s="7" t="s">
        <v>62</v>
      </c>
      <c r="F11" s="15" t="s">
        <v>24</v>
      </c>
      <c r="G11" s="7" t="s">
        <v>251</v>
      </c>
      <c r="H11" s="7" t="s">
        <v>252</v>
      </c>
      <c r="I11" s="7" t="s">
        <v>253</v>
      </c>
      <c r="J11" s="7"/>
      <c r="K11" s="7"/>
      <c r="L11" s="13" t="s">
        <v>252</v>
      </c>
      <c r="M11" s="13"/>
      <c r="N11" s="13" t="s">
        <v>27</v>
      </c>
      <c r="O11" s="13"/>
      <c r="P11" s="13" t="s">
        <v>198</v>
      </c>
      <c r="Q11" s="14" t="s">
        <v>199</v>
      </c>
      <c r="R11" s="7" t="s">
        <v>248</v>
      </c>
    </row>
    <row r="12" customFormat="false" ht="132" hidden="false" customHeight="true" outlineLevel="0" collapsed="false">
      <c r="A12" s="7" t="s">
        <v>254</v>
      </c>
      <c r="B12" s="7" t="s">
        <v>35</v>
      </c>
      <c r="C12" s="7" t="s">
        <v>48</v>
      </c>
      <c r="D12" s="9" t="s">
        <v>255</v>
      </c>
      <c r="E12" s="7" t="s">
        <v>59</v>
      </c>
      <c r="F12" s="12" t="s">
        <v>23</v>
      </c>
      <c r="G12" s="7" t="s">
        <v>256</v>
      </c>
      <c r="H12" s="7" t="s">
        <v>257</v>
      </c>
      <c r="I12" s="7" t="s">
        <v>258</v>
      </c>
      <c r="J12" s="7" t="s">
        <v>259</v>
      </c>
      <c r="K12" s="7" t="s">
        <v>260</v>
      </c>
      <c r="L12" s="13" t="s">
        <v>257</v>
      </c>
      <c r="M12" s="13"/>
      <c r="N12" s="13" t="s">
        <v>27</v>
      </c>
      <c r="O12" s="13"/>
      <c r="P12" s="13"/>
      <c r="Q12" s="7" t="s">
        <v>190</v>
      </c>
      <c r="R12" s="7"/>
    </row>
    <row r="13" customFormat="false" ht="90" hidden="false" customHeight="true" outlineLevel="0" collapsed="false">
      <c r="A13" s="7" t="s">
        <v>261</v>
      </c>
      <c r="B13" s="7" t="s">
        <v>35</v>
      </c>
      <c r="C13" s="7" t="s">
        <v>48</v>
      </c>
      <c r="D13" s="9" t="s">
        <v>262</v>
      </c>
      <c r="E13" s="7" t="s">
        <v>62</v>
      </c>
      <c r="F13" s="15" t="s">
        <v>24</v>
      </c>
      <c r="G13" s="7" t="s">
        <v>244</v>
      </c>
      <c r="H13" s="7" t="s">
        <v>263</v>
      </c>
      <c r="I13" s="7" t="s">
        <v>264</v>
      </c>
      <c r="J13" s="7" t="s">
        <v>265</v>
      </c>
      <c r="K13" s="7" t="s">
        <v>266</v>
      </c>
      <c r="L13" s="13" t="s">
        <v>263</v>
      </c>
      <c r="M13" s="13"/>
      <c r="N13" s="13" t="s">
        <v>27</v>
      </c>
      <c r="O13" s="13"/>
      <c r="P13" s="13" t="s">
        <v>198</v>
      </c>
      <c r="Q13" s="14" t="s">
        <v>240</v>
      </c>
      <c r="R13" s="7" t="s">
        <v>267</v>
      </c>
    </row>
    <row r="14" customFormat="false" ht="90" hidden="false" customHeight="true" outlineLevel="0" collapsed="false">
      <c r="A14" s="7" t="s">
        <v>268</v>
      </c>
      <c r="B14" s="7" t="s">
        <v>35</v>
      </c>
      <c r="C14" s="7" t="s">
        <v>49</v>
      </c>
      <c r="D14" s="9" t="s">
        <v>269</v>
      </c>
      <c r="E14" s="7" t="s">
        <v>59</v>
      </c>
      <c r="F14" s="12" t="s">
        <v>23</v>
      </c>
      <c r="G14" s="7" t="s">
        <v>270</v>
      </c>
      <c r="H14" s="7" t="s">
        <v>271</v>
      </c>
      <c r="I14" s="7" t="s">
        <v>272</v>
      </c>
      <c r="J14" s="7" t="s">
        <v>273</v>
      </c>
      <c r="K14" s="7" t="s">
        <v>274</v>
      </c>
      <c r="L14" s="13" t="n">
        <v>15</v>
      </c>
      <c r="M14" s="13"/>
      <c r="N14" s="13" t="s">
        <v>27</v>
      </c>
      <c r="O14" s="13"/>
      <c r="P14" s="13"/>
      <c r="Q14" s="7" t="s">
        <v>190</v>
      </c>
      <c r="R14" s="7"/>
    </row>
    <row r="15" customFormat="false" ht="90" hidden="false" customHeight="true" outlineLevel="0" collapsed="false">
      <c r="A15" s="7" t="s">
        <v>275</v>
      </c>
      <c r="B15" s="7" t="s">
        <v>35</v>
      </c>
      <c r="C15" s="7" t="s">
        <v>48</v>
      </c>
      <c r="D15" s="9" t="s">
        <v>276</v>
      </c>
      <c r="E15" s="7" t="s">
        <v>62</v>
      </c>
      <c r="F15" s="15" t="s">
        <v>24</v>
      </c>
      <c r="G15" s="7" t="s">
        <v>277</v>
      </c>
      <c r="H15" s="7" t="s">
        <v>278</v>
      </c>
      <c r="I15" s="7" t="s">
        <v>279</v>
      </c>
      <c r="J15" s="7" t="s">
        <v>280</v>
      </c>
      <c r="K15" s="7" t="s">
        <v>281</v>
      </c>
      <c r="L15" s="13" t="s">
        <v>278</v>
      </c>
      <c r="M15" s="13"/>
      <c r="N15" s="13" t="s">
        <v>27</v>
      </c>
      <c r="O15" s="13"/>
      <c r="P15" s="13" t="s">
        <v>198</v>
      </c>
      <c r="Q15" s="14" t="s">
        <v>199</v>
      </c>
      <c r="R15" s="7" t="s">
        <v>282</v>
      </c>
    </row>
    <row r="16" customFormat="false" ht="90" hidden="false" customHeight="true" outlineLevel="0" collapsed="false">
      <c r="A16" s="7" t="s">
        <v>283</v>
      </c>
      <c r="B16" s="7" t="s">
        <v>35</v>
      </c>
      <c r="C16" s="7" t="s">
        <v>48</v>
      </c>
      <c r="D16" s="9" t="s">
        <v>284</v>
      </c>
      <c r="E16" s="7" t="s">
        <v>59</v>
      </c>
      <c r="F16" s="12" t="s">
        <v>23</v>
      </c>
      <c r="G16" s="7" t="s">
        <v>285</v>
      </c>
      <c r="H16" s="7" t="s">
        <v>286</v>
      </c>
      <c r="I16" s="7" t="s">
        <v>287</v>
      </c>
      <c r="J16" s="7" t="s">
        <v>288</v>
      </c>
      <c r="K16" s="7" t="s">
        <v>289</v>
      </c>
      <c r="L16" s="13" t="s">
        <v>290</v>
      </c>
      <c r="M16" s="13"/>
      <c r="N16" s="13" t="s">
        <v>27</v>
      </c>
      <c r="O16" s="13" t="s">
        <v>291</v>
      </c>
      <c r="P16" s="13" t="s">
        <v>292</v>
      </c>
      <c r="Q16" s="16" t="s">
        <v>293</v>
      </c>
      <c r="R16" s="7" t="s">
        <v>294</v>
      </c>
    </row>
    <row r="17" customFormat="false" ht="90" hidden="false" customHeight="true" outlineLevel="0" collapsed="false">
      <c r="A17" s="7" t="s">
        <v>295</v>
      </c>
      <c r="B17" s="7" t="s">
        <v>35</v>
      </c>
      <c r="C17" s="7" t="s">
        <v>48</v>
      </c>
      <c r="D17" s="9" t="s">
        <v>296</v>
      </c>
      <c r="E17" s="7" t="s">
        <v>62</v>
      </c>
      <c r="F17" s="15" t="s">
        <v>24</v>
      </c>
      <c r="G17" s="7" t="s">
        <v>297</v>
      </c>
      <c r="H17" s="7" t="s">
        <v>298</v>
      </c>
      <c r="I17" s="7" t="s">
        <v>299</v>
      </c>
      <c r="J17" s="7" t="s">
        <v>300</v>
      </c>
      <c r="K17" s="7" t="s">
        <v>301</v>
      </c>
      <c r="L17" s="13" t="s">
        <v>302</v>
      </c>
      <c r="M17" s="13"/>
      <c r="N17" s="13" t="s">
        <v>27</v>
      </c>
      <c r="O17" s="13"/>
      <c r="P17" s="13" t="s">
        <v>198</v>
      </c>
      <c r="Q17" s="14" t="s">
        <v>199</v>
      </c>
      <c r="R17" s="7" t="s">
        <v>303</v>
      </c>
    </row>
    <row r="18" customFormat="false" ht="90" hidden="false" customHeight="true" outlineLevel="0" collapsed="false">
      <c r="A18" s="7" t="s">
        <v>304</v>
      </c>
      <c r="B18" s="7" t="s">
        <v>35</v>
      </c>
      <c r="C18" s="7" t="s">
        <v>48</v>
      </c>
      <c r="D18" s="9" t="s">
        <v>305</v>
      </c>
      <c r="E18" s="7" t="s">
        <v>62</v>
      </c>
      <c r="F18" s="15" t="s">
        <v>24</v>
      </c>
      <c r="G18" s="7" t="s">
        <v>237</v>
      </c>
      <c r="H18" s="7" t="s">
        <v>306</v>
      </c>
      <c r="I18" s="7" t="s">
        <v>307</v>
      </c>
      <c r="J18" s="7"/>
      <c r="K18" s="7"/>
      <c r="L18" s="13" t="s">
        <v>306</v>
      </c>
      <c r="M18" s="13"/>
      <c r="N18" s="13" t="s">
        <v>27</v>
      </c>
      <c r="O18" s="13"/>
      <c r="P18" s="13" t="s">
        <v>198</v>
      </c>
      <c r="Q18" s="14" t="s">
        <v>199</v>
      </c>
      <c r="R18" s="7" t="s">
        <v>248</v>
      </c>
    </row>
    <row r="19" customFormat="false" ht="90" hidden="false" customHeight="true" outlineLevel="0" collapsed="false">
      <c r="A19" s="7" t="s">
        <v>308</v>
      </c>
      <c r="B19" s="7" t="s">
        <v>35</v>
      </c>
      <c r="C19" s="7" t="s">
        <v>51</v>
      </c>
      <c r="D19" s="9" t="s">
        <v>309</v>
      </c>
      <c r="E19" s="7" t="s">
        <v>62</v>
      </c>
      <c r="F19" s="15" t="s">
        <v>24</v>
      </c>
      <c r="G19" s="7" t="s">
        <v>310</v>
      </c>
      <c r="H19" s="7" t="s">
        <v>311</v>
      </c>
      <c r="I19" s="7" t="s">
        <v>312</v>
      </c>
      <c r="J19" s="7"/>
      <c r="K19" s="7"/>
      <c r="L19" s="13" t="s">
        <v>313</v>
      </c>
      <c r="M19" s="13"/>
      <c r="N19" s="13" t="s">
        <v>27</v>
      </c>
      <c r="O19" s="13"/>
      <c r="P19" s="13" t="s">
        <v>198</v>
      </c>
      <c r="Q19" s="14" t="s">
        <v>199</v>
      </c>
      <c r="R19" s="7" t="s">
        <v>248</v>
      </c>
    </row>
    <row r="20" customFormat="false" ht="252.75" hidden="false" customHeight="true" outlineLevel="0" collapsed="false">
      <c r="A20" s="7" t="s">
        <v>314</v>
      </c>
      <c r="B20" s="7" t="s">
        <v>35</v>
      </c>
      <c r="C20" s="7" t="s">
        <v>51</v>
      </c>
      <c r="D20" s="9" t="s">
        <v>315</v>
      </c>
      <c r="E20" s="7" t="s">
        <v>81</v>
      </c>
      <c r="F20" s="12" t="s">
        <v>23</v>
      </c>
      <c r="G20" s="7" t="s">
        <v>316</v>
      </c>
      <c r="H20" s="7" t="s">
        <v>317</v>
      </c>
      <c r="I20" s="7" t="s">
        <v>318</v>
      </c>
      <c r="J20" s="7" t="s">
        <v>319</v>
      </c>
      <c r="K20" s="7" t="s">
        <v>320</v>
      </c>
      <c r="L20" s="13" t="s">
        <v>317</v>
      </c>
      <c r="M20" s="13"/>
      <c r="N20" s="13" t="s">
        <v>27</v>
      </c>
      <c r="O20" s="13"/>
      <c r="P20" s="13"/>
      <c r="Q20" s="7" t="s">
        <v>190</v>
      </c>
      <c r="R20" s="7"/>
    </row>
    <row r="21" customFormat="false" ht="90" hidden="false" customHeight="true" outlineLevel="0" collapsed="false">
      <c r="A21" s="7" t="s">
        <v>321</v>
      </c>
      <c r="B21" s="7" t="s">
        <v>35</v>
      </c>
      <c r="C21" s="7" t="s">
        <v>51</v>
      </c>
      <c r="D21" s="9" t="s">
        <v>322</v>
      </c>
      <c r="E21" s="7" t="s">
        <v>62</v>
      </c>
      <c r="F21" s="15" t="s">
        <v>24</v>
      </c>
      <c r="G21" s="7" t="s">
        <v>251</v>
      </c>
      <c r="H21" s="7" t="s">
        <v>323</v>
      </c>
      <c r="I21" s="7" t="s">
        <v>324</v>
      </c>
      <c r="J21" s="7"/>
      <c r="K21" s="7"/>
      <c r="L21" s="13" t="s">
        <v>325</v>
      </c>
      <c r="M21" s="13"/>
      <c r="N21" s="13" t="s">
        <v>27</v>
      </c>
      <c r="O21" s="13"/>
      <c r="P21" s="13" t="s">
        <v>198</v>
      </c>
      <c r="Q21" s="14" t="s">
        <v>240</v>
      </c>
      <c r="R21" s="7" t="s">
        <v>326</v>
      </c>
    </row>
    <row r="22" customFormat="false" ht="241.5" hidden="false" customHeight="true" outlineLevel="0" collapsed="false">
      <c r="A22" s="7" t="s">
        <v>327</v>
      </c>
      <c r="B22" s="7" t="s">
        <v>35</v>
      </c>
      <c r="C22" s="7" t="s">
        <v>51</v>
      </c>
      <c r="D22" s="9" t="s">
        <v>328</v>
      </c>
      <c r="E22" s="7" t="s">
        <v>81</v>
      </c>
      <c r="F22" s="12" t="s">
        <v>23</v>
      </c>
      <c r="G22" s="7" t="s">
        <v>329</v>
      </c>
      <c r="H22" s="7" t="s">
        <v>330</v>
      </c>
      <c r="I22" s="7" t="s">
        <v>331</v>
      </c>
      <c r="J22" s="7" t="s">
        <v>332</v>
      </c>
      <c r="K22" s="7" t="s">
        <v>333</v>
      </c>
      <c r="L22" s="13" t="s">
        <v>330</v>
      </c>
      <c r="M22" s="13"/>
      <c r="N22" s="13" t="s">
        <v>27</v>
      </c>
      <c r="O22" s="13"/>
      <c r="P22" s="13"/>
      <c r="Q22" s="7" t="s">
        <v>190</v>
      </c>
      <c r="R22" s="7"/>
    </row>
    <row r="23" customFormat="false" ht="90" hidden="false" customHeight="true" outlineLevel="0" collapsed="false">
      <c r="A23" s="7" t="s">
        <v>334</v>
      </c>
      <c r="B23" s="7" t="s">
        <v>35</v>
      </c>
      <c r="C23" s="7" t="s">
        <v>51</v>
      </c>
      <c r="D23" s="9" t="s">
        <v>335</v>
      </c>
      <c r="E23" s="7" t="s">
        <v>62</v>
      </c>
      <c r="F23" s="15" t="s">
        <v>24</v>
      </c>
      <c r="G23" s="7" t="s">
        <v>237</v>
      </c>
      <c r="H23" s="7" t="s">
        <v>336</v>
      </c>
      <c r="I23" s="7" t="s">
        <v>337</v>
      </c>
      <c r="J23" s="7"/>
      <c r="K23" s="7"/>
      <c r="L23" s="13" t="s">
        <v>338</v>
      </c>
      <c r="M23" s="13"/>
      <c r="N23" s="13" t="s">
        <v>27</v>
      </c>
      <c r="O23" s="13"/>
      <c r="P23" s="13" t="s">
        <v>198</v>
      </c>
      <c r="Q23" s="14" t="s">
        <v>240</v>
      </c>
      <c r="R23" s="7" t="s">
        <v>339</v>
      </c>
    </row>
    <row r="24" customFormat="false" ht="109.5" hidden="false" customHeight="true" outlineLevel="0" collapsed="false">
      <c r="A24" s="7" t="s">
        <v>340</v>
      </c>
      <c r="B24" s="7" t="s">
        <v>35</v>
      </c>
      <c r="C24" s="7" t="s">
        <v>52</v>
      </c>
      <c r="D24" s="9" t="s">
        <v>341</v>
      </c>
      <c r="E24" s="7" t="s">
        <v>59</v>
      </c>
      <c r="F24" s="12" t="s">
        <v>23</v>
      </c>
      <c r="G24" s="7" t="s">
        <v>342</v>
      </c>
      <c r="H24" s="7" t="s">
        <v>343</v>
      </c>
      <c r="I24" s="7" t="s">
        <v>344</v>
      </c>
      <c r="J24" s="7" t="s">
        <v>345</v>
      </c>
      <c r="K24" s="7" t="s">
        <v>346</v>
      </c>
      <c r="L24" s="13" t="s">
        <v>343</v>
      </c>
      <c r="M24" s="13"/>
      <c r="N24" s="13" t="s">
        <v>27</v>
      </c>
      <c r="O24" s="13"/>
      <c r="P24" s="13"/>
      <c r="Q24" s="7" t="s">
        <v>190</v>
      </c>
      <c r="R24" s="7"/>
    </row>
    <row r="25" customFormat="false" ht="120.75" hidden="false" customHeight="true" outlineLevel="0" collapsed="false">
      <c r="A25" s="7" t="s">
        <v>347</v>
      </c>
      <c r="B25" s="7" t="s">
        <v>35</v>
      </c>
      <c r="C25" s="7" t="s">
        <v>52</v>
      </c>
      <c r="D25" s="9" t="s">
        <v>348</v>
      </c>
      <c r="E25" s="7" t="s">
        <v>59</v>
      </c>
      <c r="F25" s="12" t="s">
        <v>23</v>
      </c>
      <c r="G25" s="7" t="s">
        <v>349</v>
      </c>
      <c r="H25" s="7" t="s">
        <v>350</v>
      </c>
      <c r="I25" s="7" t="s">
        <v>351</v>
      </c>
      <c r="J25" s="7" t="s">
        <v>352</v>
      </c>
      <c r="K25" s="7" t="s">
        <v>353</v>
      </c>
      <c r="L25" s="13" t="s">
        <v>350</v>
      </c>
      <c r="M25" s="13"/>
      <c r="N25" s="13" t="s">
        <v>27</v>
      </c>
      <c r="O25" s="13"/>
      <c r="P25" s="13"/>
      <c r="Q25" s="7" t="s">
        <v>190</v>
      </c>
      <c r="R25" s="7"/>
    </row>
    <row r="26" customFormat="false" ht="90" hidden="false" customHeight="true" outlineLevel="0" collapsed="false">
      <c r="A26" s="7" t="s">
        <v>354</v>
      </c>
      <c r="B26" s="7" t="s">
        <v>35</v>
      </c>
      <c r="C26" s="7" t="s">
        <v>52</v>
      </c>
      <c r="D26" s="9" t="s">
        <v>355</v>
      </c>
      <c r="E26" s="7" t="s">
        <v>74</v>
      </c>
      <c r="F26" s="12" t="s">
        <v>23</v>
      </c>
      <c r="G26" s="7" t="s">
        <v>230</v>
      </c>
      <c r="H26" s="7" t="s">
        <v>231</v>
      </c>
      <c r="I26" s="7" t="s">
        <v>232</v>
      </c>
      <c r="J26" s="7" t="s">
        <v>352</v>
      </c>
      <c r="K26" s="7" t="s">
        <v>353</v>
      </c>
      <c r="L26" s="13" t="s">
        <v>351</v>
      </c>
      <c r="M26" s="13"/>
      <c r="N26" s="13" t="s">
        <v>27</v>
      </c>
      <c r="O26" s="13" t="s">
        <v>356</v>
      </c>
      <c r="P26" s="13" t="s">
        <v>292</v>
      </c>
      <c r="Q26" s="16" t="s">
        <v>293</v>
      </c>
      <c r="R26" s="7" t="s">
        <v>357</v>
      </c>
    </row>
    <row r="27" customFormat="false" ht="90" hidden="false" customHeight="true" outlineLevel="0" collapsed="false">
      <c r="A27" s="7" t="s">
        <v>358</v>
      </c>
      <c r="B27" s="7" t="s">
        <v>36</v>
      </c>
      <c r="C27" s="7" t="s">
        <v>43</v>
      </c>
      <c r="D27" s="9" t="s">
        <v>359</v>
      </c>
      <c r="E27" s="7" t="s">
        <v>62</v>
      </c>
      <c r="F27" s="15" t="s">
        <v>24</v>
      </c>
      <c r="G27" s="7" t="s">
        <v>360</v>
      </c>
      <c r="H27" s="7" t="s">
        <v>361</v>
      </c>
      <c r="I27" s="7" t="s">
        <v>362</v>
      </c>
      <c r="J27" s="7"/>
      <c r="K27" s="7"/>
      <c r="L27" s="13" t="s">
        <v>361</v>
      </c>
      <c r="M27" s="13"/>
      <c r="N27" s="13" t="s">
        <v>27</v>
      </c>
      <c r="O27" s="13"/>
      <c r="P27" s="13" t="s">
        <v>198</v>
      </c>
      <c r="Q27" s="14" t="s">
        <v>199</v>
      </c>
      <c r="R27" s="7" t="s">
        <v>363</v>
      </c>
    </row>
    <row r="28" customFormat="false" ht="90" hidden="false" customHeight="true" outlineLevel="0" collapsed="false">
      <c r="A28" s="7" t="s">
        <v>364</v>
      </c>
      <c r="B28" s="7" t="s">
        <v>36</v>
      </c>
      <c r="C28" s="7" t="s">
        <v>43</v>
      </c>
      <c r="D28" s="9" t="s">
        <v>365</v>
      </c>
      <c r="E28" s="7" t="s">
        <v>62</v>
      </c>
      <c r="F28" s="15" t="s">
        <v>24</v>
      </c>
      <c r="G28" s="7" t="s">
        <v>366</v>
      </c>
      <c r="H28" s="7" t="s">
        <v>367</v>
      </c>
      <c r="I28" s="7" t="s">
        <v>368</v>
      </c>
      <c r="J28" s="7"/>
      <c r="K28" s="7"/>
      <c r="L28" s="13" t="s">
        <v>367</v>
      </c>
      <c r="M28" s="13"/>
      <c r="N28" s="13" t="s">
        <v>27</v>
      </c>
      <c r="O28" s="13"/>
      <c r="P28" s="13" t="s">
        <v>198</v>
      </c>
      <c r="Q28" s="14" t="s">
        <v>199</v>
      </c>
      <c r="R28" s="7" t="s">
        <v>363</v>
      </c>
    </row>
    <row r="29" customFormat="false" ht="90" hidden="false" customHeight="true" outlineLevel="0" collapsed="false">
      <c r="A29" s="7" t="s">
        <v>369</v>
      </c>
      <c r="B29" s="7" t="s">
        <v>36</v>
      </c>
      <c r="C29" s="7" t="s">
        <v>44</v>
      </c>
      <c r="D29" s="9" t="s">
        <v>192</v>
      </c>
      <c r="E29" s="7" t="s">
        <v>62</v>
      </c>
      <c r="F29" s="15" t="s">
        <v>24</v>
      </c>
      <c r="G29" s="7" t="s">
        <v>370</v>
      </c>
      <c r="H29" s="7" t="s">
        <v>371</v>
      </c>
      <c r="I29" s="7" t="s">
        <v>372</v>
      </c>
      <c r="J29" s="7" t="s">
        <v>373</v>
      </c>
      <c r="K29" s="7" t="s">
        <v>374</v>
      </c>
      <c r="L29" s="13" t="s">
        <v>371</v>
      </c>
      <c r="M29" s="13"/>
      <c r="N29" s="13" t="s">
        <v>27</v>
      </c>
      <c r="O29" s="13"/>
      <c r="P29" s="13" t="s">
        <v>198</v>
      </c>
      <c r="Q29" s="14" t="s">
        <v>199</v>
      </c>
      <c r="R29" s="7" t="s">
        <v>375</v>
      </c>
    </row>
    <row r="30" customFormat="false" ht="90" hidden="false" customHeight="true" outlineLevel="0" collapsed="false">
      <c r="A30" s="7" t="s">
        <v>376</v>
      </c>
      <c r="B30" s="7" t="s">
        <v>36</v>
      </c>
      <c r="C30" s="7" t="s">
        <v>44</v>
      </c>
      <c r="D30" s="9" t="s">
        <v>202</v>
      </c>
      <c r="E30" s="7" t="s">
        <v>62</v>
      </c>
      <c r="F30" s="15" t="s">
        <v>24</v>
      </c>
      <c r="G30" s="7" t="s">
        <v>377</v>
      </c>
      <c r="H30" s="7" t="s">
        <v>378</v>
      </c>
      <c r="I30" s="7" t="s">
        <v>379</v>
      </c>
      <c r="J30" s="7" t="s">
        <v>380</v>
      </c>
      <c r="K30" s="7" t="s">
        <v>381</v>
      </c>
      <c r="L30" s="13" t="s">
        <v>378</v>
      </c>
      <c r="M30" s="13"/>
      <c r="N30" s="13" t="s">
        <v>27</v>
      </c>
      <c r="O30" s="13"/>
      <c r="P30" s="13" t="s">
        <v>198</v>
      </c>
      <c r="Q30" s="14" t="s">
        <v>199</v>
      </c>
      <c r="R30" s="7" t="s">
        <v>208</v>
      </c>
    </row>
    <row r="31" customFormat="false" ht="90" hidden="false" customHeight="true" outlineLevel="0" collapsed="false">
      <c r="A31" s="7" t="s">
        <v>382</v>
      </c>
      <c r="B31" s="7" t="s">
        <v>36</v>
      </c>
      <c r="C31" s="7" t="s">
        <v>44</v>
      </c>
      <c r="D31" s="9" t="s">
        <v>383</v>
      </c>
      <c r="E31" s="7" t="s">
        <v>62</v>
      </c>
      <c r="F31" s="15" t="s">
        <v>24</v>
      </c>
      <c r="G31" s="7" t="s">
        <v>384</v>
      </c>
      <c r="H31" s="7" t="s">
        <v>385</v>
      </c>
      <c r="I31" s="7" t="s">
        <v>386</v>
      </c>
      <c r="J31" s="7" t="s">
        <v>387</v>
      </c>
      <c r="K31" s="7" t="s">
        <v>388</v>
      </c>
      <c r="L31" s="13" t="s">
        <v>385</v>
      </c>
      <c r="M31" s="13"/>
      <c r="N31" s="13" t="s">
        <v>27</v>
      </c>
      <c r="O31" s="13"/>
      <c r="P31" s="13" t="s">
        <v>198</v>
      </c>
      <c r="Q31" s="14" t="s">
        <v>199</v>
      </c>
      <c r="R31" s="7" t="s">
        <v>389</v>
      </c>
    </row>
    <row r="32" customFormat="false" ht="165" hidden="false" customHeight="true" outlineLevel="0" collapsed="false">
      <c r="A32" s="7" t="s">
        <v>390</v>
      </c>
      <c r="B32" s="7" t="s">
        <v>36</v>
      </c>
      <c r="C32" s="7" t="s">
        <v>45</v>
      </c>
      <c r="D32" s="9" t="s">
        <v>391</v>
      </c>
      <c r="E32" s="7" t="s">
        <v>81</v>
      </c>
      <c r="F32" s="12" t="s">
        <v>23</v>
      </c>
      <c r="G32" s="7" t="s">
        <v>392</v>
      </c>
      <c r="H32" s="7" t="s">
        <v>393</v>
      </c>
      <c r="I32" s="7" t="s">
        <v>394</v>
      </c>
      <c r="J32" s="7" t="s">
        <v>395</v>
      </c>
      <c r="K32" s="7" t="s">
        <v>396</v>
      </c>
      <c r="L32" s="13" t="s">
        <v>393</v>
      </c>
      <c r="M32" s="13"/>
      <c r="N32" s="13" t="s">
        <v>27</v>
      </c>
      <c r="O32" s="13"/>
      <c r="P32" s="13"/>
      <c r="Q32" s="7" t="s">
        <v>190</v>
      </c>
      <c r="R32" s="7"/>
    </row>
    <row r="33" customFormat="false" ht="408.75" hidden="false" customHeight="true" outlineLevel="0" collapsed="false">
      <c r="A33" s="7" t="s">
        <v>397</v>
      </c>
      <c r="B33" s="7" t="s">
        <v>36</v>
      </c>
      <c r="C33" s="7" t="s">
        <v>45</v>
      </c>
      <c r="D33" s="9" t="s">
        <v>398</v>
      </c>
      <c r="E33" s="7" t="s">
        <v>81</v>
      </c>
      <c r="F33" s="12" t="s">
        <v>23</v>
      </c>
      <c r="G33" s="7" t="s">
        <v>399</v>
      </c>
      <c r="H33" s="7" t="s">
        <v>400</v>
      </c>
      <c r="I33" s="7" t="s">
        <v>401</v>
      </c>
      <c r="J33" s="7" t="s">
        <v>402</v>
      </c>
      <c r="K33" s="7" t="s">
        <v>403</v>
      </c>
      <c r="L33" s="13" t="s">
        <v>400</v>
      </c>
      <c r="M33" s="13"/>
      <c r="N33" s="13" t="s">
        <v>27</v>
      </c>
      <c r="O33" s="13"/>
      <c r="P33" s="13"/>
      <c r="Q33" s="7" t="s">
        <v>190</v>
      </c>
      <c r="R33" s="7"/>
    </row>
    <row r="34" customFormat="false" ht="90" hidden="false" customHeight="true" outlineLevel="0" collapsed="false">
      <c r="A34" s="7" t="s">
        <v>404</v>
      </c>
      <c r="B34" s="7" t="s">
        <v>36</v>
      </c>
      <c r="C34" s="7" t="s">
        <v>45</v>
      </c>
      <c r="D34" s="9" t="s">
        <v>405</v>
      </c>
      <c r="E34" s="7" t="s">
        <v>62</v>
      </c>
      <c r="F34" s="15" t="s">
        <v>24</v>
      </c>
      <c r="G34" s="7" t="s">
        <v>406</v>
      </c>
      <c r="H34" s="7" t="s">
        <v>407</v>
      </c>
      <c r="I34" s="7"/>
      <c r="J34" s="7"/>
      <c r="K34" s="7"/>
      <c r="L34" s="13" t="s">
        <v>407</v>
      </c>
      <c r="M34" s="13"/>
      <c r="N34" s="13" t="s">
        <v>27</v>
      </c>
      <c r="O34" s="13"/>
      <c r="P34" s="13" t="s">
        <v>198</v>
      </c>
      <c r="Q34" s="14" t="s">
        <v>240</v>
      </c>
      <c r="R34" s="7" t="s">
        <v>408</v>
      </c>
    </row>
    <row r="35" customFormat="false" ht="252.75" hidden="false" customHeight="true" outlineLevel="0" collapsed="false">
      <c r="A35" s="7" t="s">
        <v>409</v>
      </c>
      <c r="B35" s="7" t="s">
        <v>36</v>
      </c>
      <c r="C35" s="7" t="s">
        <v>45</v>
      </c>
      <c r="D35" s="9" t="s">
        <v>210</v>
      </c>
      <c r="E35" s="7" t="s">
        <v>81</v>
      </c>
      <c r="F35" s="12" t="s">
        <v>23</v>
      </c>
      <c r="G35" s="7" t="s">
        <v>410</v>
      </c>
      <c r="H35" s="7" t="s">
        <v>411</v>
      </c>
      <c r="I35" s="7"/>
      <c r="J35" s="7" t="s">
        <v>412</v>
      </c>
      <c r="K35" s="7" t="s">
        <v>413</v>
      </c>
      <c r="L35" s="13" t="s">
        <v>411</v>
      </c>
      <c r="M35" s="13"/>
      <c r="N35" s="13" t="s">
        <v>27</v>
      </c>
      <c r="O35" s="13" t="s">
        <v>414</v>
      </c>
      <c r="P35" s="13"/>
      <c r="Q35" s="7" t="s">
        <v>190</v>
      </c>
      <c r="R35" s="7"/>
    </row>
    <row r="36" customFormat="false" ht="186.75" hidden="false" customHeight="true" outlineLevel="0" collapsed="false">
      <c r="A36" s="7" t="s">
        <v>415</v>
      </c>
      <c r="B36" s="7" t="s">
        <v>36</v>
      </c>
      <c r="C36" s="7" t="s">
        <v>45</v>
      </c>
      <c r="D36" s="9" t="s">
        <v>224</v>
      </c>
      <c r="E36" s="7" t="s">
        <v>59</v>
      </c>
      <c r="F36" s="12" t="s">
        <v>23</v>
      </c>
      <c r="G36" s="7" t="s">
        <v>225</v>
      </c>
      <c r="H36" s="7"/>
      <c r="I36" s="7" t="s">
        <v>220</v>
      </c>
      <c r="J36" s="7" t="s">
        <v>416</v>
      </c>
      <c r="K36" s="7" t="s">
        <v>417</v>
      </c>
      <c r="L36" s="13"/>
      <c r="M36" s="13"/>
      <c r="N36" s="13" t="s">
        <v>27</v>
      </c>
      <c r="O36" s="13" t="s">
        <v>418</v>
      </c>
      <c r="P36" s="13"/>
      <c r="Q36" s="7" t="s">
        <v>190</v>
      </c>
      <c r="R36" s="7"/>
    </row>
    <row r="37" customFormat="false" ht="90" hidden="false" customHeight="true" outlineLevel="0" collapsed="false">
      <c r="A37" s="7" t="s">
        <v>419</v>
      </c>
      <c r="B37" s="7" t="s">
        <v>36</v>
      </c>
      <c r="C37" s="7" t="s">
        <v>45</v>
      </c>
      <c r="D37" s="9" t="s">
        <v>236</v>
      </c>
      <c r="E37" s="7" t="s">
        <v>62</v>
      </c>
      <c r="F37" s="15" t="s">
        <v>24</v>
      </c>
      <c r="G37" s="7" t="s">
        <v>420</v>
      </c>
      <c r="H37" s="7" t="s">
        <v>421</v>
      </c>
      <c r="I37" s="7" t="s">
        <v>422</v>
      </c>
      <c r="J37" s="7"/>
      <c r="K37" s="7"/>
      <c r="L37" s="13" t="s">
        <v>421</v>
      </c>
      <c r="M37" s="13"/>
      <c r="N37" s="13" t="s">
        <v>27</v>
      </c>
      <c r="O37" s="13"/>
      <c r="P37" s="13" t="s">
        <v>198</v>
      </c>
      <c r="Q37" s="14" t="s">
        <v>199</v>
      </c>
      <c r="R37" s="7" t="s">
        <v>248</v>
      </c>
    </row>
    <row r="38" customFormat="false" ht="90" hidden="false" customHeight="true" outlineLevel="0" collapsed="false">
      <c r="A38" s="7" t="s">
        <v>423</v>
      </c>
      <c r="B38" s="7" t="s">
        <v>36</v>
      </c>
      <c r="C38" s="7" t="s">
        <v>46</v>
      </c>
      <c r="D38" s="9" t="s">
        <v>243</v>
      </c>
      <c r="E38" s="7" t="s">
        <v>62</v>
      </c>
      <c r="F38" s="15" t="s">
        <v>24</v>
      </c>
      <c r="G38" s="7" t="s">
        <v>237</v>
      </c>
      <c r="H38" s="7" t="s">
        <v>424</v>
      </c>
      <c r="I38" s="7" t="s">
        <v>425</v>
      </c>
      <c r="J38" s="7"/>
      <c r="K38" s="7"/>
      <c r="L38" s="13" t="s">
        <v>424</v>
      </c>
      <c r="M38" s="13"/>
      <c r="N38" s="13" t="s">
        <v>27</v>
      </c>
      <c r="O38" s="13"/>
      <c r="P38" s="13" t="s">
        <v>198</v>
      </c>
      <c r="Q38" s="14" t="s">
        <v>199</v>
      </c>
      <c r="R38" s="7" t="s">
        <v>248</v>
      </c>
    </row>
    <row r="39" customFormat="false" ht="90" hidden="false" customHeight="true" outlineLevel="0" collapsed="false">
      <c r="A39" s="7" t="s">
        <v>426</v>
      </c>
      <c r="B39" s="7" t="s">
        <v>36</v>
      </c>
      <c r="C39" s="7" t="s">
        <v>46</v>
      </c>
      <c r="D39" s="9" t="s">
        <v>250</v>
      </c>
      <c r="E39" s="7" t="s">
        <v>62</v>
      </c>
      <c r="F39" s="15" t="s">
        <v>24</v>
      </c>
      <c r="G39" s="7" t="s">
        <v>427</v>
      </c>
      <c r="H39" s="7" t="s">
        <v>428</v>
      </c>
      <c r="I39" s="7" t="s">
        <v>429</v>
      </c>
      <c r="J39" s="7"/>
      <c r="K39" s="7"/>
      <c r="L39" s="13" t="s">
        <v>428</v>
      </c>
      <c r="M39" s="13"/>
      <c r="N39" s="13" t="s">
        <v>27</v>
      </c>
      <c r="O39" s="13"/>
      <c r="P39" s="13" t="s">
        <v>198</v>
      </c>
      <c r="Q39" s="14" t="s">
        <v>199</v>
      </c>
      <c r="R39" s="7" t="s">
        <v>248</v>
      </c>
    </row>
    <row r="40" customFormat="false" ht="198" hidden="false" customHeight="true" outlineLevel="0" collapsed="false">
      <c r="A40" s="7" t="s">
        <v>430</v>
      </c>
      <c r="B40" s="7" t="s">
        <v>36</v>
      </c>
      <c r="C40" s="7" t="s">
        <v>46</v>
      </c>
      <c r="D40" s="9" t="s">
        <v>431</v>
      </c>
      <c r="E40" s="7" t="s">
        <v>81</v>
      </c>
      <c r="F40" s="12" t="s">
        <v>23</v>
      </c>
      <c r="G40" s="7" t="s">
        <v>432</v>
      </c>
      <c r="H40" s="7" t="s">
        <v>433</v>
      </c>
      <c r="I40" s="7" t="s">
        <v>434</v>
      </c>
      <c r="J40" s="7" t="s">
        <v>435</v>
      </c>
      <c r="K40" s="7" t="s">
        <v>436</v>
      </c>
      <c r="L40" s="13" t="s">
        <v>433</v>
      </c>
      <c r="M40" s="13"/>
      <c r="N40" s="13" t="s">
        <v>27</v>
      </c>
      <c r="O40" s="13"/>
      <c r="P40" s="13"/>
      <c r="Q40" s="7" t="s">
        <v>190</v>
      </c>
      <c r="R40" s="7"/>
    </row>
    <row r="41" customFormat="false" ht="90" hidden="false" customHeight="true" outlineLevel="0" collapsed="false">
      <c r="A41" s="7" t="s">
        <v>437</v>
      </c>
      <c r="B41" s="7" t="s">
        <v>36</v>
      </c>
      <c r="C41" s="7" t="s">
        <v>46</v>
      </c>
      <c r="D41" s="9" t="s">
        <v>438</v>
      </c>
      <c r="E41" s="7" t="s">
        <v>62</v>
      </c>
      <c r="F41" s="15" t="s">
        <v>24</v>
      </c>
      <c r="G41" s="7" t="s">
        <v>439</v>
      </c>
      <c r="H41" s="7"/>
      <c r="I41" s="7" t="s">
        <v>440</v>
      </c>
      <c r="J41" s="7"/>
      <c r="K41" s="7"/>
      <c r="L41" s="13" t="s">
        <v>441</v>
      </c>
      <c r="M41" s="13"/>
      <c r="N41" s="13" t="s">
        <v>27</v>
      </c>
      <c r="O41" s="13"/>
      <c r="P41" s="13" t="s">
        <v>198</v>
      </c>
      <c r="Q41" s="14" t="s">
        <v>240</v>
      </c>
      <c r="R41" s="7" t="s">
        <v>442</v>
      </c>
    </row>
    <row r="42" customFormat="false" ht="208.5" hidden="false" customHeight="true" outlineLevel="0" collapsed="false">
      <c r="A42" s="7" t="s">
        <v>443</v>
      </c>
      <c r="B42" s="7" t="s">
        <v>36</v>
      </c>
      <c r="C42" s="7" t="s">
        <v>46</v>
      </c>
      <c r="D42" s="9" t="s">
        <v>444</v>
      </c>
      <c r="E42" s="7" t="s">
        <v>81</v>
      </c>
      <c r="F42" s="12" t="s">
        <v>23</v>
      </c>
      <c r="G42" s="7" t="s">
        <v>445</v>
      </c>
      <c r="H42" s="7" t="s">
        <v>446</v>
      </c>
      <c r="I42" s="7" t="s">
        <v>447</v>
      </c>
      <c r="J42" s="7" t="s">
        <v>448</v>
      </c>
      <c r="K42" s="7" t="s">
        <v>449</v>
      </c>
      <c r="L42" s="13" t="s">
        <v>446</v>
      </c>
      <c r="M42" s="13"/>
      <c r="N42" s="13" t="s">
        <v>27</v>
      </c>
      <c r="O42" s="13"/>
      <c r="P42" s="13"/>
      <c r="Q42" s="7" t="s">
        <v>190</v>
      </c>
      <c r="R42" s="7"/>
    </row>
    <row r="43" customFormat="false" ht="231" hidden="false" customHeight="true" outlineLevel="0" collapsed="false">
      <c r="A43" s="7" t="s">
        <v>450</v>
      </c>
      <c r="B43" s="7" t="s">
        <v>36</v>
      </c>
      <c r="C43" s="7" t="s">
        <v>48</v>
      </c>
      <c r="D43" s="9" t="s">
        <v>451</v>
      </c>
      <c r="E43" s="7" t="s">
        <v>81</v>
      </c>
      <c r="F43" s="12" t="s">
        <v>23</v>
      </c>
      <c r="G43" s="7" t="s">
        <v>452</v>
      </c>
      <c r="H43" s="7" t="s">
        <v>453</v>
      </c>
      <c r="I43" s="7" t="s">
        <v>454</v>
      </c>
      <c r="J43" s="7" t="s">
        <v>455</v>
      </c>
      <c r="K43" s="7" t="s">
        <v>456</v>
      </c>
      <c r="L43" s="13" t="s">
        <v>457</v>
      </c>
      <c r="M43" s="13"/>
      <c r="N43" s="13" t="s">
        <v>27</v>
      </c>
      <c r="O43" s="13"/>
      <c r="P43" s="13"/>
      <c r="Q43" s="13" t="s">
        <v>458</v>
      </c>
      <c r="R43" s="7" t="s">
        <v>459</v>
      </c>
    </row>
    <row r="44" customFormat="false" ht="90" hidden="false" customHeight="true" outlineLevel="0" collapsed="false">
      <c r="A44" s="7" t="s">
        <v>460</v>
      </c>
      <c r="B44" s="7" t="s">
        <v>36</v>
      </c>
      <c r="C44" s="7" t="s">
        <v>48</v>
      </c>
      <c r="D44" s="9" t="s">
        <v>262</v>
      </c>
      <c r="E44" s="7" t="s">
        <v>62</v>
      </c>
      <c r="F44" s="15" t="s">
        <v>24</v>
      </c>
      <c r="G44" s="7" t="s">
        <v>237</v>
      </c>
      <c r="H44" s="7" t="s">
        <v>461</v>
      </c>
      <c r="I44" s="7" t="s">
        <v>264</v>
      </c>
      <c r="J44" s="7" t="s">
        <v>462</v>
      </c>
      <c r="K44" s="7" t="s">
        <v>463</v>
      </c>
      <c r="L44" s="13" t="s">
        <v>461</v>
      </c>
      <c r="M44" s="13"/>
      <c r="N44" s="13" t="s">
        <v>27</v>
      </c>
      <c r="O44" s="13"/>
      <c r="P44" s="13" t="s">
        <v>198</v>
      </c>
      <c r="Q44" s="14" t="s">
        <v>240</v>
      </c>
      <c r="R44" s="7" t="s">
        <v>267</v>
      </c>
    </row>
    <row r="45" customFormat="false" ht="186.75" hidden="false" customHeight="true" outlineLevel="0" collapsed="false">
      <c r="A45" s="7" t="s">
        <v>464</v>
      </c>
      <c r="B45" s="7" t="s">
        <v>36</v>
      </c>
      <c r="C45" s="7" t="s">
        <v>48</v>
      </c>
      <c r="D45" s="9" t="s">
        <v>465</v>
      </c>
      <c r="E45" s="7" t="s">
        <v>59</v>
      </c>
      <c r="F45" s="12" t="s">
        <v>23</v>
      </c>
      <c r="G45" s="7" t="s">
        <v>466</v>
      </c>
      <c r="H45" s="7" t="s">
        <v>467</v>
      </c>
      <c r="I45" s="7" t="s">
        <v>468</v>
      </c>
      <c r="J45" s="7" t="s">
        <v>469</v>
      </c>
      <c r="K45" s="7" t="s">
        <v>470</v>
      </c>
      <c r="L45" s="13" t="s">
        <v>468</v>
      </c>
      <c r="M45" s="13"/>
      <c r="N45" s="13" t="s">
        <v>27</v>
      </c>
      <c r="O45" s="13"/>
      <c r="P45" s="13"/>
      <c r="Q45" s="13" t="s">
        <v>458</v>
      </c>
      <c r="R45" s="7" t="s">
        <v>471</v>
      </c>
    </row>
    <row r="46" customFormat="false" ht="90" hidden="false" customHeight="true" outlineLevel="0" collapsed="false">
      <c r="A46" s="7" t="s">
        <v>472</v>
      </c>
      <c r="B46" s="7" t="s">
        <v>36</v>
      </c>
      <c r="C46" s="7" t="s">
        <v>48</v>
      </c>
      <c r="D46" s="9" t="s">
        <v>276</v>
      </c>
      <c r="E46" s="7" t="s">
        <v>62</v>
      </c>
      <c r="F46" s="15" t="s">
        <v>24</v>
      </c>
      <c r="G46" s="7" t="s">
        <v>473</v>
      </c>
      <c r="H46" s="7" t="s">
        <v>474</v>
      </c>
      <c r="I46" s="7" t="s">
        <v>475</v>
      </c>
      <c r="J46" s="7" t="s">
        <v>476</v>
      </c>
      <c r="K46" s="7" t="s">
        <v>477</v>
      </c>
      <c r="L46" s="13" t="s">
        <v>474</v>
      </c>
      <c r="M46" s="13"/>
      <c r="N46" s="13" t="s">
        <v>27</v>
      </c>
      <c r="O46" s="13"/>
      <c r="P46" s="13" t="s">
        <v>198</v>
      </c>
      <c r="Q46" s="14" t="s">
        <v>199</v>
      </c>
      <c r="R46" s="7" t="s">
        <v>282</v>
      </c>
    </row>
    <row r="47" customFormat="false" ht="90" hidden="false" customHeight="true" outlineLevel="0" collapsed="false">
      <c r="A47" s="7" t="s">
        <v>478</v>
      </c>
      <c r="B47" s="7" t="s">
        <v>36</v>
      </c>
      <c r="C47" s="7" t="s">
        <v>48</v>
      </c>
      <c r="D47" s="9" t="s">
        <v>296</v>
      </c>
      <c r="E47" s="7" t="s">
        <v>62</v>
      </c>
      <c r="F47" s="15" t="s">
        <v>24</v>
      </c>
      <c r="G47" s="7" t="s">
        <v>479</v>
      </c>
      <c r="H47" s="7" t="s">
        <v>480</v>
      </c>
      <c r="I47" s="7" t="s">
        <v>481</v>
      </c>
      <c r="J47" s="7" t="s">
        <v>482</v>
      </c>
      <c r="K47" s="7" t="s">
        <v>483</v>
      </c>
      <c r="L47" s="13" t="s">
        <v>480</v>
      </c>
      <c r="M47" s="13"/>
      <c r="N47" s="13" t="s">
        <v>27</v>
      </c>
      <c r="O47" s="13"/>
      <c r="P47" s="13" t="s">
        <v>198</v>
      </c>
      <c r="Q47" s="14" t="s">
        <v>199</v>
      </c>
      <c r="R47" s="7" t="s">
        <v>484</v>
      </c>
    </row>
    <row r="48" customFormat="false" ht="90" hidden="false" customHeight="true" outlineLevel="0" collapsed="false">
      <c r="A48" s="7" t="s">
        <v>485</v>
      </c>
      <c r="B48" s="7" t="s">
        <v>36</v>
      </c>
      <c r="C48" s="7" t="s">
        <v>48</v>
      </c>
      <c r="D48" s="9" t="s">
        <v>305</v>
      </c>
      <c r="E48" s="7" t="s">
        <v>62</v>
      </c>
      <c r="F48" s="15" t="s">
        <v>24</v>
      </c>
      <c r="G48" s="7" t="s">
        <v>486</v>
      </c>
      <c r="H48" s="7" t="s">
        <v>487</v>
      </c>
      <c r="I48" s="7" t="s">
        <v>488</v>
      </c>
      <c r="J48" s="7"/>
      <c r="K48" s="7"/>
      <c r="L48" s="13" t="s">
        <v>487</v>
      </c>
      <c r="M48" s="13"/>
      <c r="N48" s="13" t="s">
        <v>27</v>
      </c>
      <c r="O48" s="13"/>
      <c r="P48" s="13" t="s">
        <v>198</v>
      </c>
      <c r="Q48" s="14" t="s">
        <v>199</v>
      </c>
      <c r="R48" s="7" t="s">
        <v>248</v>
      </c>
    </row>
    <row r="49" customFormat="false" ht="241.5" hidden="false" customHeight="true" outlineLevel="0" collapsed="false">
      <c r="A49" s="7" t="s">
        <v>489</v>
      </c>
      <c r="B49" s="7" t="s">
        <v>36</v>
      </c>
      <c r="C49" s="7" t="s">
        <v>51</v>
      </c>
      <c r="D49" s="9" t="s">
        <v>490</v>
      </c>
      <c r="E49" s="7" t="s">
        <v>81</v>
      </c>
      <c r="F49" s="12" t="s">
        <v>23</v>
      </c>
      <c r="G49" s="7" t="s">
        <v>491</v>
      </c>
      <c r="H49" s="7" t="s">
        <v>492</v>
      </c>
      <c r="I49" s="7" t="s">
        <v>493</v>
      </c>
      <c r="J49" s="7" t="s">
        <v>494</v>
      </c>
      <c r="K49" s="7" t="s">
        <v>495</v>
      </c>
      <c r="L49" s="13" t="s">
        <v>492</v>
      </c>
      <c r="M49" s="13"/>
      <c r="N49" s="13" t="s">
        <v>27</v>
      </c>
      <c r="O49" s="13"/>
      <c r="P49" s="13"/>
      <c r="Q49" s="7" t="s">
        <v>190</v>
      </c>
      <c r="R49" s="7"/>
    </row>
    <row r="50" customFormat="false" ht="90" hidden="false" customHeight="true" outlineLevel="0" collapsed="false">
      <c r="A50" s="7" t="s">
        <v>496</v>
      </c>
      <c r="B50" s="7" t="s">
        <v>36</v>
      </c>
      <c r="C50" s="7" t="s">
        <v>51</v>
      </c>
      <c r="D50" s="9" t="s">
        <v>309</v>
      </c>
      <c r="E50" s="7" t="s">
        <v>62</v>
      </c>
      <c r="F50" s="15" t="s">
        <v>24</v>
      </c>
      <c r="G50" s="7" t="s">
        <v>497</v>
      </c>
      <c r="H50" s="7" t="s">
        <v>498</v>
      </c>
      <c r="I50" s="7" t="s">
        <v>499</v>
      </c>
      <c r="J50" s="7"/>
      <c r="K50" s="7"/>
      <c r="L50" s="13" t="s">
        <v>498</v>
      </c>
      <c r="M50" s="13"/>
      <c r="N50" s="13" t="s">
        <v>27</v>
      </c>
      <c r="O50" s="13"/>
      <c r="P50" s="13" t="s">
        <v>198</v>
      </c>
      <c r="Q50" s="14" t="s">
        <v>240</v>
      </c>
      <c r="R50" s="7" t="s">
        <v>500</v>
      </c>
    </row>
    <row r="51" customFormat="false" ht="252.75" hidden="false" customHeight="true" outlineLevel="0" collapsed="false">
      <c r="A51" s="7" t="s">
        <v>501</v>
      </c>
      <c r="B51" s="7" t="s">
        <v>36</v>
      </c>
      <c r="C51" s="7" t="s">
        <v>51</v>
      </c>
      <c r="D51" s="9" t="s">
        <v>315</v>
      </c>
      <c r="E51" s="7" t="s">
        <v>81</v>
      </c>
      <c r="F51" s="12" t="s">
        <v>23</v>
      </c>
      <c r="G51" s="7" t="s">
        <v>502</v>
      </c>
      <c r="H51" s="7" t="s">
        <v>503</v>
      </c>
      <c r="I51" s="7" t="s">
        <v>504</v>
      </c>
      <c r="J51" s="7" t="s">
        <v>505</v>
      </c>
      <c r="K51" s="7" t="s">
        <v>506</v>
      </c>
      <c r="L51" s="13" t="s">
        <v>503</v>
      </c>
      <c r="M51" s="13"/>
      <c r="N51" s="13" t="s">
        <v>27</v>
      </c>
      <c r="O51" s="13"/>
      <c r="P51" s="13"/>
      <c r="Q51" s="13" t="s">
        <v>458</v>
      </c>
      <c r="R51" s="7" t="s">
        <v>507</v>
      </c>
    </row>
    <row r="52" customFormat="false" ht="90" hidden="false" customHeight="true" outlineLevel="0" collapsed="false">
      <c r="A52" s="7" t="s">
        <v>508</v>
      </c>
      <c r="B52" s="7" t="s">
        <v>36</v>
      </c>
      <c r="C52" s="7" t="s">
        <v>51</v>
      </c>
      <c r="D52" s="9" t="s">
        <v>322</v>
      </c>
      <c r="E52" s="7" t="s">
        <v>62</v>
      </c>
      <c r="F52" s="15" t="s">
        <v>24</v>
      </c>
      <c r="G52" s="7" t="s">
        <v>509</v>
      </c>
      <c r="H52" s="7" t="s">
        <v>510</v>
      </c>
      <c r="I52" s="7" t="s">
        <v>511</v>
      </c>
      <c r="J52" s="7"/>
      <c r="K52" s="7"/>
      <c r="L52" s="13" t="s">
        <v>510</v>
      </c>
      <c r="M52" s="13"/>
      <c r="N52" s="13" t="s">
        <v>27</v>
      </c>
      <c r="O52" s="13"/>
      <c r="P52" s="13" t="s">
        <v>198</v>
      </c>
      <c r="Q52" s="14" t="s">
        <v>240</v>
      </c>
      <c r="R52" s="7" t="s">
        <v>512</v>
      </c>
    </row>
    <row r="53" customFormat="false" ht="241.5" hidden="false" customHeight="true" outlineLevel="0" collapsed="false">
      <c r="A53" s="7" t="s">
        <v>513</v>
      </c>
      <c r="B53" s="7" t="s">
        <v>36</v>
      </c>
      <c r="C53" s="7" t="s">
        <v>51</v>
      </c>
      <c r="D53" s="9" t="s">
        <v>328</v>
      </c>
      <c r="E53" s="7" t="s">
        <v>81</v>
      </c>
      <c r="F53" s="12" t="s">
        <v>23</v>
      </c>
      <c r="G53" s="7" t="s">
        <v>514</v>
      </c>
      <c r="H53" s="7" t="s">
        <v>515</v>
      </c>
      <c r="I53" s="7" t="s">
        <v>516</v>
      </c>
      <c r="J53" s="7" t="s">
        <v>517</v>
      </c>
      <c r="K53" s="7" t="s">
        <v>518</v>
      </c>
      <c r="L53" s="13" t="s">
        <v>516</v>
      </c>
      <c r="M53" s="13"/>
      <c r="N53" s="13" t="s">
        <v>27</v>
      </c>
      <c r="O53" s="13" t="s">
        <v>519</v>
      </c>
      <c r="P53" s="13"/>
      <c r="Q53" s="7" t="s">
        <v>190</v>
      </c>
      <c r="R53" s="7"/>
    </row>
    <row r="54" customFormat="false" ht="90" hidden="false" customHeight="true" outlineLevel="0" collapsed="false">
      <c r="A54" s="7" t="s">
        <v>520</v>
      </c>
      <c r="B54" s="7" t="s">
        <v>36</v>
      </c>
      <c r="C54" s="7" t="s">
        <v>51</v>
      </c>
      <c r="D54" s="9" t="s">
        <v>335</v>
      </c>
      <c r="E54" s="7" t="s">
        <v>62</v>
      </c>
      <c r="F54" s="15" t="s">
        <v>24</v>
      </c>
      <c r="G54" s="7" t="s">
        <v>521</v>
      </c>
      <c r="H54" s="7" t="s">
        <v>522</v>
      </c>
      <c r="I54" s="7" t="s">
        <v>523</v>
      </c>
      <c r="J54" s="7"/>
      <c r="K54" s="7"/>
      <c r="L54" s="13" t="s">
        <v>523</v>
      </c>
      <c r="M54" s="13"/>
      <c r="N54" s="13" t="s">
        <v>27</v>
      </c>
      <c r="O54" s="13"/>
      <c r="P54" s="13" t="s">
        <v>198</v>
      </c>
      <c r="Q54" s="14" t="s">
        <v>240</v>
      </c>
      <c r="R54" s="7" t="s">
        <v>524</v>
      </c>
    </row>
    <row r="55" customFormat="false" ht="120.75" hidden="false" customHeight="true" outlineLevel="0" collapsed="false">
      <c r="A55" s="7" t="s">
        <v>525</v>
      </c>
      <c r="B55" s="7" t="s">
        <v>36</v>
      </c>
      <c r="C55" s="7" t="s">
        <v>52</v>
      </c>
      <c r="D55" s="9" t="s">
        <v>526</v>
      </c>
      <c r="E55" s="7" t="s">
        <v>59</v>
      </c>
      <c r="F55" s="12" t="s">
        <v>23</v>
      </c>
      <c r="G55" s="7" t="s">
        <v>342</v>
      </c>
      <c r="H55" s="7" t="s">
        <v>343</v>
      </c>
      <c r="I55" s="7" t="s">
        <v>344</v>
      </c>
      <c r="J55" s="7" t="s">
        <v>527</v>
      </c>
      <c r="K55" s="7" t="s">
        <v>528</v>
      </c>
      <c r="L55" s="13" t="s">
        <v>343</v>
      </c>
      <c r="M55" s="13"/>
      <c r="N55" s="13" t="s">
        <v>27</v>
      </c>
      <c r="O55" s="13"/>
      <c r="P55" s="13"/>
      <c r="Q55" s="7" t="s">
        <v>190</v>
      </c>
      <c r="R55" s="7"/>
    </row>
    <row r="56" customFormat="false" ht="120.75" hidden="false" customHeight="true" outlineLevel="0" collapsed="false">
      <c r="A56" s="7" t="s">
        <v>529</v>
      </c>
      <c r="B56" s="7" t="s">
        <v>36</v>
      </c>
      <c r="C56" s="7" t="s">
        <v>52</v>
      </c>
      <c r="D56" s="9" t="s">
        <v>530</v>
      </c>
      <c r="E56" s="7" t="s">
        <v>59</v>
      </c>
      <c r="F56" s="12" t="s">
        <v>23</v>
      </c>
      <c r="G56" s="7" t="s">
        <v>342</v>
      </c>
      <c r="H56" s="7" t="s">
        <v>343</v>
      </c>
      <c r="I56" s="7" t="s">
        <v>344</v>
      </c>
      <c r="J56" s="7" t="s">
        <v>531</v>
      </c>
      <c r="K56" s="7" t="s">
        <v>532</v>
      </c>
      <c r="L56" s="13" t="s">
        <v>343</v>
      </c>
      <c r="M56" s="13"/>
      <c r="N56" s="13" t="s">
        <v>27</v>
      </c>
      <c r="O56" s="13" t="s">
        <v>533</v>
      </c>
      <c r="P56" s="13"/>
      <c r="Q56" s="7" t="s">
        <v>190</v>
      </c>
      <c r="R56" s="7"/>
    </row>
    <row r="57" customFormat="false" ht="109.5" hidden="false" customHeight="true" outlineLevel="0" collapsed="false">
      <c r="A57" s="7" t="s">
        <v>534</v>
      </c>
      <c r="B57" s="7" t="s">
        <v>36</v>
      </c>
      <c r="C57" s="7" t="s">
        <v>52</v>
      </c>
      <c r="D57" s="9" t="s">
        <v>341</v>
      </c>
      <c r="E57" s="7" t="s">
        <v>59</v>
      </c>
      <c r="F57" s="12" t="s">
        <v>23</v>
      </c>
      <c r="G57" s="7" t="s">
        <v>342</v>
      </c>
      <c r="H57" s="7" t="s">
        <v>343</v>
      </c>
      <c r="I57" s="7" t="s">
        <v>344</v>
      </c>
      <c r="J57" s="7" t="s">
        <v>535</v>
      </c>
      <c r="K57" s="7" t="s">
        <v>536</v>
      </c>
      <c r="L57" s="13" t="s">
        <v>343</v>
      </c>
      <c r="M57" s="13"/>
      <c r="N57" s="13" t="s">
        <v>27</v>
      </c>
      <c r="O57" s="13" t="s">
        <v>537</v>
      </c>
      <c r="P57" s="13"/>
      <c r="Q57" s="7" t="s">
        <v>190</v>
      </c>
      <c r="R57" s="7"/>
    </row>
    <row r="58" customFormat="false" ht="90" hidden="false" customHeight="true" outlineLevel="0" collapsed="false">
      <c r="A58" s="7" t="s">
        <v>538</v>
      </c>
      <c r="B58" s="7" t="s">
        <v>37</v>
      </c>
      <c r="C58" s="7" t="s">
        <v>44</v>
      </c>
      <c r="D58" s="9" t="s">
        <v>192</v>
      </c>
      <c r="E58" s="7" t="s">
        <v>62</v>
      </c>
      <c r="F58" s="14" t="s">
        <v>25</v>
      </c>
      <c r="G58" s="7" t="s">
        <v>193</v>
      </c>
      <c r="H58" s="7" t="s">
        <v>539</v>
      </c>
      <c r="I58" s="7" t="s">
        <v>540</v>
      </c>
      <c r="J58" s="7" t="s">
        <v>541</v>
      </c>
      <c r="K58" s="7" t="s">
        <v>542</v>
      </c>
      <c r="L58" s="13" t="s">
        <v>539</v>
      </c>
      <c r="M58" s="13"/>
      <c r="N58" s="13" t="s">
        <v>27</v>
      </c>
      <c r="O58" s="13"/>
      <c r="P58" s="13" t="s">
        <v>198</v>
      </c>
      <c r="Q58" s="14" t="s">
        <v>199</v>
      </c>
      <c r="R58" s="7" t="s">
        <v>200</v>
      </c>
    </row>
    <row r="59" customFormat="false" ht="90" hidden="false" customHeight="true" outlineLevel="0" collapsed="false">
      <c r="A59" s="7" t="s">
        <v>543</v>
      </c>
      <c r="B59" s="7" t="s">
        <v>37</v>
      </c>
      <c r="C59" s="7" t="s">
        <v>44</v>
      </c>
      <c r="D59" s="9" t="s">
        <v>202</v>
      </c>
      <c r="E59" s="7" t="s">
        <v>62</v>
      </c>
      <c r="F59" s="15" t="s">
        <v>24</v>
      </c>
      <c r="G59" s="7" t="s">
        <v>544</v>
      </c>
      <c r="H59" s="7" t="s">
        <v>545</v>
      </c>
      <c r="I59" s="7" t="s">
        <v>546</v>
      </c>
      <c r="J59" s="7" t="s">
        <v>547</v>
      </c>
      <c r="K59" s="7" t="s">
        <v>548</v>
      </c>
      <c r="L59" s="13" t="s">
        <v>545</v>
      </c>
      <c r="M59" s="13"/>
      <c r="N59" s="13" t="s">
        <v>27</v>
      </c>
      <c r="O59" s="13"/>
      <c r="P59" s="13" t="s">
        <v>198</v>
      </c>
      <c r="Q59" s="14" t="s">
        <v>199</v>
      </c>
      <c r="R59" s="7" t="s">
        <v>208</v>
      </c>
    </row>
    <row r="60" customFormat="false" ht="252.75" hidden="false" customHeight="true" outlineLevel="0" collapsed="false">
      <c r="A60" s="7" t="s">
        <v>549</v>
      </c>
      <c r="B60" s="7" t="s">
        <v>37</v>
      </c>
      <c r="C60" s="7" t="s">
        <v>45</v>
      </c>
      <c r="D60" s="9" t="s">
        <v>210</v>
      </c>
      <c r="E60" s="7" t="s">
        <v>81</v>
      </c>
      <c r="F60" s="12" t="s">
        <v>23</v>
      </c>
      <c r="G60" s="7" t="s">
        <v>211</v>
      </c>
      <c r="H60" s="7" t="s">
        <v>212</v>
      </c>
      <c r="I60" s="7" t="s">
        <v>213</v>
      </c>
      <c r="J60" s="7" t="s">
        <v>550</v>
      </c>
      <c r="K60" s="7" t="s">
        <v>551</v>
      </c>
      <c r="L60" s="13" t="s">
        <v>212</v>
      </c>
      <c r="M60" s="13"/>
      <c r="N60" s="13" t="s">
        <v>27</v>
      </c>
      <c r="O60" s="13" t="s">
        <v>552</v>
      </c>
      <c r="P60" s="13"/>
      <c r="Q60" s="7" t="s">
        <v>190</v>
      </c>
      <c r="R60" s="7"/>
    </row>
    <row r="61" customFormat="false" ht="186.75" hidden="false" customHeight="true" outlineLevel="0" collapsed="false">
      <c r="A61" s="7" t="s">
        <v>553</v>
      </c>
      <c r="B61" s="7" t="s">
        <v>37</v>
      </c>
      <c r="C61" s="7" t="s">
        <v>45</v>
      </c>
      <c r="D61" s="9" t="s">
        <v>224</v>
      </c>
      <c r="E61" s="7" t="s">
        <v>59</v>
      </c>
      <c r="F61" s="12" t="s">
        <v>23</v>
      </c>
      <c r="G61" s="7" t="s">
        <v>225</v>
      </c>
      <c r="H61" s="7"/>
      <c r="I61" s="7" t="s">
        <v>220</v>
      </c>
      <c r="J61" s="7" t="s">
        <v>554</v>
      </c>
      <c r="K61" s="7" t="s">
        <v>555</v>
      </c>
      <c r="L61" s="13"/>
      <c r="M61" s="13"/>
      <c r="N61" s="13" t="s">
        <v>27</v>
      </c>
      <c r="O61" s="13" t="s">
        <v>556</v>
      </c>
      <c r="P61" s="13"/>
      <c r="Q61" s="7" t="s">
        <v>190</v>
      </c>
      <c r="R61" s="7"/>
    </row>
    <row r="62" customFormat="false" ht="90" hidden="false" customHeight="true" outlineLevel="0" collapsed="false">
      <c r="A62" s="7" t="s">
        <v>557</v>
      </c>
      <c r="B62" s="7" t="s">
        <v>37</v>
      </c>
      <c r="C62" s="7" t="s">
        <v>45</v>
      </c>
      <c r="D62" s="9" t="s">
        <v>236</v>
      </c>
      <c r="E62" s="7" t="s">
        <v>62</v>
      </c>
      <c r="F62" s="15" t="s">
        <v>24</v>
      </c>
      <c r="G62" s="7" t="s">
        <v>544</v>
      </c>
      <c r="H62" s="7" t="s">
        <v>558</v>
      </c>
      <c r="I62" s="7" t="s">
        <v>559</v>
      </c>
      <c r="J62" s="7"/>
      <c r="K62" s="7"/>
      <c r="L62" s="13" t="s">
        <v>558</v>
      </c>
      <c r="M62" s="13"/>
      <c r="N62" s="13" t="s">
        <v>27</v>
      </c>
      <c r="O62" s="13"/>
      <c r="P62" s="13" t="s">
        <v>198</v>
      </c>
      <c r="Q62" s="14" t="s">
        <v>199</v>
      </c>
      <c r="R62" s="7" t="s">
        <v>248</v>
      </c>
    </row>
    <row r="63" customFormat="false" ht="264" hidden="false" customHeight="true" outlineLevel="0" collapsed="false">
      <c r="A63" s="7" t="s">
        <v>560</v>
      </c>
      <c r="B63" s="7" t="s">
        <v>37</v>
      </c>
      <c r="C63" s="7" t="s">
        <v>45</v>
      </c>
      <c r="D63" s="9" t="s">
        <v>561</v>
      </c>
      <c r="E63" s="7" t="s">
        <v>59</v>
      </c>
      <c r="F63" s="12" t="s">
        <v>23</v>
      </c>
      <c r="G63" s="7" t="s">
        <v>562</v>
      </c>
      <c r="H63" s="7" t="s">
        <v>467</v>
      </c>
      <c r="I63" s="7" t="s">
        <v>563</v>
      </c>
      <c r="J63" s="7" t="s">
        <v>564</v>
      </c>
      <c r="K63" s="7" t="s">
        <v>565</v>
      </c>
      <c r="L63" s="13" t="s">
        <v>467</v>
      </c>
      <c r="M63" s="13"/>
      <c r="N63" s="13" t="s">
        <v>27</v>
      </c>
      <c r="O63" s="13" t="s">
        <v>566</v>
      </c>
      <c r="P63" s="13"/>
      <c r="Q63" s="7" t="s">
        <v>190</v>
      </c>
      <c r="R63" s="7"/>
    </row>
    <row r="64" customFormat="false" ht="90" hidden="false" customHeight="true" outlineLevel="0" collapsed="false">
      <c r="A64" s="7" t="s">
        <v>567</v>
      </c>
      <c r="B64" s="7" t="s">
        <v>37</v>
      </c>
      <c r="C64" s="7" t="s">
        <v>45</v>
      </c>
      <c r="D64" s="9" t="s">
        <v>568</v>
      </c>
      <c r="E64" s="7" t="s">
        <v>62</v>
      </c>
      <c r="F64" s="15" t="s">
        <v>24</v>
      </c>
      <c r="G64" s="7" t="s">
        <v>439</v>
      </c>
      <c r="H64" s="7"/>
      <c r="I64" s="7" t="s">
        <v>569</v>
      </c>
      <c r="J64" s="7"/>
      <c r="K64" s="7"/>
      <c r="L64" s="13" t="s">
        <v>441</v>
      </c>
      <c r="M64" s="13"/>
      <c r="N64" s="13" t="s">
        <v>27</v>
      </c>
      <c r="O64" s="13"/>
      <c r="P64" s="13" t="s">
        <v>198</v>
      </c>
      <c r="Q64" s="14" t="s">
        <v>240</v>
      </c>
      <c r="R64" s="7" t="s">
        <v>570</v>
      </c>
    </row>
    <row r="65" customFormat="false" ht="90" hidden="false" customHeight="true" outlineLevel="0" collapsed="false">
      <c r="A65" s="7" t="s">
        <v>571</v>
      </c>
      <c r="B65" s="7" t="s">
        <v>37</v>
      </c>
      <c r="C65" s="7" t="s">
        <v>46</v>
      </c>
      <c r="D65" s="9" t="s">
        <v>243</v>
      </c>
      <c r="E65" s="7" t="s">
        <v>62</v>
      </c>
      <c r="F65" s="15" t="s">
        <v>24</v>
      </c>
      <c r="G65" s="7" t="s">
        <v>486</v>
      </c>
      <c r="H65" s="7" t="s">
        <v>572</v>
      </c>
      <c r="I65" s="7" t="s">
        <v>573</v>
      </c>
      <c r="J65" s="7"/>
      <c r="K65" s="7"/>
      <c r="L65" s="13" t="s">
        <v>572</v>
      </c>
      <c r="M65" s="13"/>
      <c r="N65" s="13" t="s">
        <v>27</v>
      </c>
      <c r="O65" s="13"/>
      <c r="P65" s="13" t="s">
        <v>198</v>
      </c>
      <c r="Q65" s="14" t="s">
        <v>199</v>
      </c>
      <c r="R65" s="7" t="s">
        <v>248</v>
      </c>
    </row>
    <row r="66" customFormat="false" ht="109.5" hidden="false" customHeight="true" outlineLevel="0" collapsed="false">
      <c r="A66" s="7" t="s">
        <v>574</v>
      </c>
      <c r="B66" s="7" t="s">
        <v>37</v>
      </c>
      <c r="C66" s="7" t="s">
        <v>46</v>
      </c>
      <c r="D66" s="9" t="s">
        <v>575</v>
      </c>
      <c r="E66" s="7" t="s">
        <v>81</v>
      </c>
      <c r="F66" s="12" t="s">
        <v>23</v>
      </c>
      <c r="G66" s="7" t="s">
        <v>576</v>
      </c>
      <c r="H66" s="7" t="s">
        <v>577</v>
      </c>
      <c r="I66" s="7" t="s">
        <v>578</v>
      </c>
      <c r="J66" s="7" t="s">
        <v>579</v>
      </c>
      <c r="K66" s="7" t="s">
        <v>580</v>
      </c>
      <c r="L66" s="13" t="s">
        <v>577</v>
      </c>
      <c r="M66" s="13"/>
      <c r="N66" s="13" t="s">
        <v>27</v>
      </c>
      <c r="O66" s="13" t="s">
        <v>581</v>
      </c>
      <c r="P66" s="13"/>
      <c r="Q66" s="7" t="s">
        <v>190</v>
      </c>
      <c r="R66" s="7"/>
    </row>
    <row r="67" customFormat="false" ht="90" hidden="false" customHeight="true" outlineLevel="0" collapsed="false">
      <c r="A67" s="7" t="s">
        <v>582</v>
      </c>
      <c r="B67" s="7" t="s">
        <v>37</v>
      </c>
      <c r="C67" s="7" t="s">
        <v>46</v>
      </c>
      <c r="D67" s="9" t="s">
        <v>250</v>
      </c>
      <c r="E67" s="7" t="s">
        <v>62</v>
      </c>
      <c r="F67" s="15" t="s">
        <v>24</v>
      </c>
      <c r="G67" s="7" t="s">
        <v>406</v>
      </c>
      <c r="H67" s="7" t="s">
        <v>583</v>
      </c>
      <c r="I67" s="7"/>
      <c r="J67" s="7"/>
      <c r="K67" s="7"/>
      <c r="L67" s="13" t="s">
        <v>583</v>
      </c>
      <c r="M67" s="13"/>
      <c r="N67" s="13" t="s">
        <v>27</v>
      </c>
      <c r="O67" s="13"/>
      <c r="P67" s="13" t="s">
        <v>198</v>
      </c>
      <c r="Q67" s="14" t="s">
        <v>240</v>
      </c>
      <c r="R67" s="7" t="s">
        <v>584</v>
      </c>
    </row>
    <row r="68" customFormat="false" ht="252.75" hidden="false" customHeight="true" outlineLevel="0" collapsed="false">
      <c r="A68" s="7" t="s">
        <v>585</v>
      </c>
      <c r="B68" s="7" t="s">
        <v>37</v>
      </c>
      <c r="C68" s="7" t="s">
        <v>46</v>
      </c>
      <c r="D68" s="9" t="s">
        <v>586</v>
      </c>
      <c r="E68" s="7" t="s">
        <v>81</v>
      </c>
      <c r="F68" s="12" t="s">
        <v>23</v>
      </c>
      <c r="G68" s="7" t="s">
        <v>587</v>
      </c>
      <c r="H68" s="7" t="s">
        <v>588</v>
      </c>
      <c r="I68" s="7" t="s">
        <v>589</v>
      </c>
      <c r="J68" s="7" t="s">
        <v>590</v>
      </c>
      <c r="K68" s="7" t="s">
        <v>591</v>
      </c>
      <c r="L68" s="13" t="s">
        <v>588</v>
      </c>
      <c r="M68" s="13"/>
      <c r="N68" s="13" t="s">
        <v>27</v>
      </c>
      <c r="O68" s="13" t="s">
        <v>592</v>
      </c>
      <c r="P68" s="13"/>
      <c r="Q68" s="7" t="s">
        <v>190</v>
      </c>
      <c r="R68" s="7"/>
    </row>
    <row r="69" customFormat="false" ht="153.75" hidden="false" customHeight="true" outlineLevel="0" collapsed="false">
      <c r="A69" s="7" t="s">
        <v>593</v>
      </c>
      <c r="B69" s="7" t="s">
        <v>37</v>
      </c>
      <c r="C69" s="7" t="s">
        <v>46</v>
      </c>
      <c r="D69" s="9" t="s">
        <v>594</v>
      </c>
      <c r="E69" s="7" t="s">
        <v>59</v>
      </c>
      <c r="F69" s="12" t="s">
        <v>23</v>
      </c>
      <c r="G69" s="7" t="s">
        <v>595</v>
      </c>
      <c r="H69" s="7" t="s">
        <v>596</v>
      </c>
      <c r="I69" s="7" t="s">
        <v>597</v>
      </c>
      <c r="J69" s="7" t="s">
        <v>598</v>
      </c>
      <c r="K69" s="7" t="s">
        <v>599</v>
      </c>
      <c r="L69" s="13" t="s">
        <v>596</v>
      </c>
      <c r="M69" s="13"/>
      <c r="N69" s="13" t="s">
        <v>27</v>
      </c>
      <c r="O69" s="13" t="s">
        <v>592</v>
      </c>
      <c r="P69" s="13"/>
      <c r="Q69" s="7" t="s">
        <v>190</v>
      </c>
      <c r="R69" s="7"/>
    </row>
    <row r="70" customFormat="false" ht="90" hidden="false" customHeight="true" outlineLevel="0" collapsed="false">
      <c r="A70" s="7" t="s">
        <v>600</v>
      </c>
      <c r="B70" s="7" t="s">
        <v>37</v>
      </c>
      <c r="C70" s="7" t="s">
        <v>46</v>
      </c>
      <c r="D70" s="9" t="s">
        <v>601</v>
      </c>
      <c r="E70" s="7" t="s">
        <v>62</v>
      </c>
      <c r="F70" s="15" t="s">
        <v>24</v>
      </c>
      <c r="G70" s="7" t="s">
        <v>602</v>
      </c>
      <c r="H70" s="7" t="s">
        <v>603</v>
      </c>
      <c r="I70" s="7" t="s">
        <v>604</v>
      </c>
      <c r="J70" s="7"/>
      <c r="K70" s="7"/>
      <c r="L70" s="13" t="s">
        <v>603</v>
      </c>
      <c r="M70" s="13"/>
      <c r="N70" s="13" t="s">
        <v>27</v>
      </c>
      <c r="O70" s="13"/>
      <c r="P70" s="13" t="s">
        <v>198</v>
      </c>
      <c r="Q70" s="14" t="s">
        <v>240</v>
      </c>
      <c r="R70" s="7" t="s">
        <v>605</v>
      </c>
    </row>
    <row r="71" customFormat="false" ht="132" hidden="false" customHeight="true" outlineLevel="0" collapsed="false">
      <c r="A71" s="7" t="s">
        <v>606</v>
      </c>
      <c r="B71" s="7" t="s">
        <v>37</v>
      </c>
      <c r="C71" s="7" t="s">
        <v>46</v>
      </c>
      <c r="D71" s="9" t="s">
        <v>607</v>
      </c>
      <c r="E71" s="7" t="s">
        <v>59</v>
      </c>
      <c r="F71" s="12" t="s">
        <v>23</v>
      </c>
      <c r="G71" s="7" t="s">
        <v>608</v>
      </c>
      <c r="H71" s="7" t="s">
        <v>609</v>
      </c>
      <c r="I71" s="7" t="s">
        <v>597</v>
      </c>
      <c r="J71" s="7" t="s">
        <v>610</v>
      </c>
      <c r="K71" s="7" t="s">
        <v>611</v>
      </c>
      <c r="L71" s="13" t="s">
        <v>609</v>
      </c>
      <c r="M71" s="13"/>
      <c r="N71" s="13" t="s">
        <v>27</v>
      </c>
      <c r="O71" s="13" t="s">
        <v>592</v>
      </c>
      <c r="P71" s="13"/>
      <c r="Q71" s="7" t="s">
        <v>190</v>
      </c>
      <c r="R71" s="7"/>
    </row>
    <row r="72" customFormat="false" ht="198" hidden="false" customHeight="true" outlineLevel="0" collapsed="false">
      <c r="A72" s="7" t="s">
        <v>612</v>
      </c>
      <c r="B72" s="7" t="s">
        <v>37</v>
      </c>
      <c r="C72" s="7" t="s">
        <v>46</v>
      </c>
      <c r="D72" s="9" t="s">
        <v>431</v>
      </c>
      <c r="E72" s="7" t="s">
        <v>81</v>
      </c>
      <c r="F72" s="12" t="s">
        <v>23</v>
      </c>
      <c r="G72" s="7" t="s">
        <v>613</v>
      </c>
      <c r="H72" s="7" t="s">
        <v>614</v>
      </c>
      <c r="I72" s="7" t="s">
        <v>615</v>
      </c>
      <c r="J72" s="7" t="s">
        <v>616</v>
      </c>
      <c r="K72" s="7" t="s">
        <v>617</v>
      </c>
      <c r="L72" s="13" t="s">
        <v>614</v>
      </c>
      <c r="M72" s="13"/>
      <c r="N72" s="13" t="s">
        <v>27</v>
      </c>
      <c r="O72" s="13" t="s">
        <v>552</v>
      </c>
      <c r="P72" s="13"/>
      <c r="Q72" s="7" t="s">
        <v>190</v>
      </c>
      <c r="R72" s="7"/>
    </row>
    <row r="73" customFormat="false" ht="90" hidden="false" customHeight="true" outlineLevel="0" collapsed="false">
      <c r="A73" s="7" t="s">
        <v>618</v>
      </c>
      <c r="B73" s="7" t="s">
        <v>37</v>
      </c>
      <c r="C73" s="7" t="s">
        <v>46</v>
      </c>
      <c r="D73" s="9" t="s">
        <v>438</v>
      </c>
      <c r="E73" s="7" t="s">
        <v>62</v>
      </c>
      <c r="F73" s="15" t="s">
        <v>24</v>
      </c>
      <c r="G73" s="7" t="s">
        <v>619</v>
      </c>
      <c r="H73" s="7" t="s">
        <v>620</v>
      </c>
      <c r="I73" s="7" t="s">
        <v>621</v>
      </c>
      <c r="J73" s="7"/>
      <c r="K73" s="7"/>
      <c r="L73" s="13" t="s">
        <v>620</v>
      </c>
      <c r="M73" s="13"/>
      <c r="N73" s="13" t="s">
        <v>27</v>
      </c>
      <c r="O73" s="13"/>
      <c r="P73" s="13" t="s">
        <v>198</v>
      </c>
      <c r="Q73" s="14" t="s">
        <v>240</v>
      </c>
      <c r="R73" s="7" t="s">
        <v>622</v>
      </c>
    </row>
    <row r="74" customFormat="false" ht="208.5" hidden="false" customHeight="true" outlineLevel="0" collapsed="false">
      <c r="A74" s="7" t="s">
        <v>623</v>
      </c>
      <c r="B74" s="7" t="s">
        <v>37</v>
      </c>
      <c r="C74" s="7" t="s">
        <v>46</v>
      </c>
      <c r="D74" s="9" t="s">
        <v>444</v>
      </c>
      <c r="E74" s="7" t="s">
        <v>81</v>
      </c>
      <c r="F74" s="12" t="s">
        <v>23</v>
      </c>
      <c r="G74" s="7" t="s">
        <v>624</v>
      </c>
      <c r="H74" s="7" t="s">
        <v>625</v>
      </c>
      <c r="I74" s="7" t="s">
        <v>626</v>
      </c>
      <c r="J74" s="7" t="s">
        <v>627</v>
      </c>
      <c r="K74" s="7" t="s">
        <v>628</v>
      </c>
      <c r="L74" s="13" t="s">
        <v>625</v>
      </c>
      <c r="M74" s="13"/>
      <c r="N74" s="13" t="s">
        <v>27</v>
      </c>
      <c r="O74" s="13" t="s">
        <v>552</v>
      </c>
      <c r="P74" s="13"/>
      <c r="Q74" s="7" t="s">
        <v>190</v>
      </c>
      <c r="R74" s="7"/>
    </row>
    <row r="75" customFormat="false" ht="90" hidden="false" customHeight="true" outlineLevel="0" collapsed="false">
      <c r="A75" s="7" t="s">
        <v>629</v>
      </c>
      <c r="B75" s="7" t="s">
        <v>37</v>
      </c>
      <c r="C75" s="7" t="s">
        <v>46</v>
      </c>
      <c r="D75" s="9" t="s">
        <v>630</v>
      </c>
      <c r="E75" s="7" t="s">
        <v>74</v>
      </c>
      <c r="F75" s="12" t="s">
        <v>23</v>
      </c>
      <c r="G75" s="7" t="s">
        <v>631</v>
      </c>
      <c r="H75" s="7" t="s">
        <v>232</v>
      </c>
      <c r="I75" s="7" t="s">
        <v>231</v>
      </c>
      <c r="J75" s="7" t="s">
        <v>632</v>
      </c>
      <c r="K75" s="7" t="s">
        <v>633</v>
      </c>
      <c r="L75" s="13" t="s">
        <v>232</v>
      </c>
      <c r="M75" s="13"/>
      <c r="N75" s="13" t="s">
        <v>27</v>
      </c>
      <c r="O75" s="13" t="s">
        <v>634</v>
      </c>
      <c r="P75" s="13"/>
      <c r="Q75" s="7" t="s">
        <v>190</v>
      </c>
      <c r="R75" s="7"/>
    </row>
    <row r="76" customFormat="false" ht="120.75" hidden="false" customHeight="true" outlineLevel="0" collapsed="false">
      <c r="A76" s="7" t="s">
        <v>635</v>
      </c>
      <c r="B76" s="7" t="s">
        <v>37</v>
      </c>
      <c r="C76" s="7" t="s">
        <v>47</v>
      </c>
      <c r="D76" s="9" t="s">
        <v>636</v>
      </c>
      <c r="E76" s="7" t="s">
        <v>74</v>
      </c>
      <c r="F76" s="12" t="s">
        <v>23</v>
      </c>
      <c r="G76" s="7" t="s">
        <v>631</v>
      </c>
      <c r="H76" s="7" t="s">
        <v>232</v>
      </c>
      <c r="I76" s="7" t="s">
        <v>231</v>
      </c>
      <c r="J76" s="7" t="s">
        <v>637</v>
      </c>
      <c r="K76" s="7" t="s">
        <v>638</v>
      </c>
      <c r="L76" s="13" t="s">
        <v>231</v>
      </c>
      <c r="M76" s="13"/>
      <c r="N76" s="13" t="s">
        <v>27</v>
      </c>
      <c r="O76" s="13" t="s">
        <v>639</v>
      </c>
      <c r="P76" s="13"/>
      <c r="Q76" s="7" t="s">
        <v>190</v>
      </c>
      <c r="R76" s="7"/>
    </row>
    <row r="77" customFormat="false" ht="165" hidden="false" customHeight="true" outlineLevel="0" collapsed="false">
      <c r="A77" s="7" t="s">
        <v>640</v>
      </c>
      <c r="B77" s="7" t="s">
        <v>37</v>
      </c>
      <c r="C77" s="7" t="s">
        <v>47</v>
      </c>
      <c r="D77" s="9" t="s">
        <v>641</v>
      </c>
      <c r="E77" s="7" t="s">
        <v>59</v>
      </c>
      <c r="F77" s="12" t="s">
        <v>23</v>
      </c>
      <c r="G77" s="7" t="s">
        <v>642</v>
      </c>
      <c r="H77" s="7" t="s">
        <v>643</v>
      </c>
      <c r="I77" s="7" t="s">
        <v>467</v>
      </c>
      <c r="J77" s="7" t="s">
        <v>644</v>
      </c>
      <c r="K77" s="7" t="s">
        <v>645</v>
      </c>
      <c r="L77" s="13" t="s">
        <v>467</v>
      </c>
      <c r="M77" s="13"/>
      <c r="N77" s="13" t="s">
        <v>27</v>
      </c>
      <c r="O77" s="13" t="s">
        <v>646</v>
      </c>
      <c r="P77" s="13"/>
      <c r="Q77" s="7" t="s">
        <v>190</v>
      </c>
      <c r="R77" s="7"/>
    </row>
    <row r="78" customFormat="false" ht="219.75" hidden="false" customHeight="true" outlineLevel="0" collapsed="false">
      <c r="A78" s="7" t="s">
        <v>647</v>
      </c>
      <c r="B78" s="7" t="s">
        <v>37</v>
      </c>
      <c r="C78" s="7" t="s">
        <v>47</v>
      </c>
      <c r="D78" s="9" t="s">
        <v>648</v>
      </c>
      <c r="E78" s="7" t="s">
        <v>81</v>
      </c>
      <c r="F78" s="12" t="s">
        <v>23</v>
      </c>
      <c r="G78" s="7" t="s">
        <v>649</v>
      </c>
      <c r="H78" s="7" t="s">
        <v>563</v>
      </c>
      <c r="I78" s="7"/>
      <c r="J78" s="7" t="s">
        <v>650</v>
      </c>
      <c r="K78" s="7" t="s">
        <v>651</v>
      </c>
      <c r="L78" s="13"/>
      <c r="M78" s="13"/>
      <c r="N78" s="13" t="s">
        <v>27</v>
      </c>
      <c r="O78" s="13" t="s">
        <v>646</v>
      </c>
      <c r="P78" s="13"/>
      <c r="Q78" s="7" t="s">
        <v>190</v>
      </c>
      <c r="R78" s="7"/>
    </row>
    <row r="79" customFormat="false" ht="90" hidden="false" customHeight="true" outlineLevel="0" collapsed="false">
      <c r="A79" s="7" t="s">
        <v>652</v>
      </c>
      <c r="B79" s="7" t="s">
        <v>37</v>
      </c>
      <c r="C79" s="7" t="s">
        <v>47</v>
      </c>
      <c r="D79" s="9" t="s">
        <v>653</v>
      </c>
      <c r="E79" s="7" t="s">
        <v>62</v>
      </c>
      <c r="F79" s="15" t="s">
        <v>24</v>
      </c>
      <c r="G79" s="7" t="s">
        <v>406</v>
      </c>
      <c r="H79" s="7" t="s">
        <v>654</v>
      </c>
      <c r="I79" s="7"/>
      <c r="J79" s="7"/>
      <c r="K79" s="7"/>
      <c r="L79" s="13" t="s">
        <v>441</v>
      </c>
      <c r="M79" s="13"/>
      <c r="N79" s="13" t="s">
        <v>27</v>
      </c>
      <c r="O79" s="13"/>
      <c r="P79" s="13" t="s">
        <v>198</v>
      </c>
      <c r="Q79" s="14" t="s">
        <v>240</v>
      </c>
      <c r="R79" s="7" t="s">
        <v>655</v>
      </c>
    </row>
    <row r="80" customFormat="false" ht="241.5" hidden="false" customHeight="true" outlineLevel="0" collapsed="false">
      <c r="A80" s="7" t="s">
        <v>656</v>
      </c>
      <c r="B80" s="7" t="s">
        <v>37</v>
      </c>
      <c r="C80" s="7" t="s">
        <v>47</v>
      </c>
      <c r="D80" s="9" t="s">
        <v>657</v>
      </c>
      <c r="E80" s="7" t="s">
        <v>81</v>
      </c>
      <c r="F80" s="12" t="s">
        <v>23</v>
      </c>
      <c r="G80" s="7" t="s">
        <v>658</v>
      </c>
      <c r="H80" s="7" t="s">
        <v>659</v>
      </c>
      <c r="I80" s="7" t="s">
        <v>660</v>
      </c>
      <c r="J80" s="7" t="s">
        <v>661</v>
      </c>
      <c r="K80" s="7" t="s">
        <v>662</v>
      </c>
      <c r="L80" s="13" t="s">
        <v>467</v>
      </c>
      <c r="M80" s="13"/>
      <c r="N80" s="13" t="s">
        <v>27</v>
      </c>
      <c r="O80" s="13" t="s">
        <v>552</v>
      </c>
      <c r="P80" s="13" t="s">
        <v>198</v>
      </c>
      <c r="Q80" s="14" t="s">
        <v>240</v>
      </c>
      <c r="R80" s="7" t="s">
        <v>663</v>
      </c>
    </row>
    <row r="81" customFormat="false" ht="90" hidden="false" customHeight="true" outlineLevel="0" collapsed="false">
      <c r="A81" s="7" t="s">
        <v>664</v>
      </c>
      <c r="B81" s="7" t="s">
        <v>37</v>
      </c>
      <c r="C81" s="7" t="s">
        <v>47</v>
      </c>
      <c r="D81" s="9" t="s">
        <v>665</v>
      </c>
      <c r="E81" s="7" t="s">
        <v>62</v>
      </c>
      <c r="F81" s="15" t="s">
        <v>24</v>
      </c>
      <c r="G81" s="7" t="s">
        <v>406</v>
      </c>
      <c r="H81" s="7" t="s">
        <v>666</v>
      </c>
      <c r="I81" s="7"/>
      <c r="J81" s="7"/>
      <c r="K81" s="7"/>
      <c r="L81" s="13" t="s">
        <v>441</v>
      </c>
      <c r="M81" s="13"/>
      <c r="N81" s="13" t="s">
        <v>27</v>
      </c>
      <c r="O81" s="13"/>
      <c r="P81" s="13" t="s">
        <v>198</v>
      </c>
      <c r="Q81" s="14" t="s">
        <v>240</v>
      </c>
      <c r="R81" s="7" t="s">
        <v>667</v>
      </c>
    </row>
    <row r="82" customFormat="false" ht="90" hidden="false" customHeight="true" outlineLevel="0" collapsed="false">
      <c r="A82" s="7" t="s">
        <v>668</v>
      </c>
      <c r="B82" s="7" t="s">
        <v>37</v>
      </c>
      <c r="C82" s="7" t="s">
        <v>48</v>
      </c>
      <c r="D82" s="9" t="s">
        <v>262</v>
      </c>
      <c r="E82" s="7" t="s">
        <v>62</v>
      </c>
      <c r="F82" s="15" t="s">
        <v>24</v>
      </c>
      <c r="G82" s="7" t="s">
        <v>277</v>
      </c>
      <c r="H82" s="7" t="s">
        <v>669</v>
      </c>
      <c r="I82" s="7" t="s">
        <v>670</v>
      </c>
      <c r="J82" s="7" t="s">
        <v>671</v>
      </c>
      <c r="K82" s="7" t="s">
        <v>672</v>
      </c>
      <c r="L82" s="13" t="s">
        <v>669</v>
      </c>
      <c r="M82" s="13"/>
      <c r="N82" s="13" t="s">
        <v>27</v>
      </c>
      <c r="O82" s="13"/>
      <c r="P82" s="13" t="s">
        <v>198</v>
      </c>
      <c r="Q82" s="14" t="s">
        <v>199</v>
      </c>
      <c r="R82" s="7" t="s">
        <v>673</v>
      </c>
    </row>
    <row r="83" customFormat="false" ht="90" hidden="false" customHeight="true" outlineLevel="0" collapsed="false">
      <c r="A83" s="7" t="s">
        <v>674</v>
      </c>
      <c r="B83" s="7" t="s">
        <v>37</v>
      </c>
      <c r="C83" s="7" t="s">
        <v>49</v>
      </c>
      <c r="D83" s="9" t="s">
        <v>269</v>
      </c>
      <c r="E83" s="7" t="s">
        <v>59</v>
      </c>
      <c r="F83" s="12" t="s">
        <v>23</v>
      </c>
      <c r="G83" s="7" t="s">
        <v>675</v>
      </c>
      <c r="H83" s="7" t="s">
        <v>271</v>
      </c>
      <c r="I83" s="7" t="s">
        <v>676</v>
      </c>
      <c r="J83" s="7" t="s">
        <v>677</v>
      </c>
      <c r="K83" s="7" t="s">
        <v>678</v>
      </c>
      <c r="L83" s="13" t="n">
        <v>15</v>
      </c>
      <c r="M83" s="13"/>
      <c r="N83" s="13" t="s">
        <v>27</v>
      </c>
      <c r="O83" s="13" t="s">
        <v>552</v>
      </c>
      <c r="P83" s="13"/>
      <c r="Q83" s="7" t="s">
        <v>190</v>
      </c>
      <c r="R83" s="7"/>
    </row>
    <row r="84" customFormat="false" ht="90" hidden="false" customHeight="true" outlineLevel="0" collapsed="false">
      <c r="A84" s="7" t="s">
        <v>679</v>
      </c>
      <c r="B84" s="7" t="s">
        <v>37</v>
      </c>
      <c r="C84" s="7" t="s">
        <v>48</v>
      </c>
      <c r="D84" s="9" t="s">
        <v>276</v>
      </c>
      <c r="E84" s="7" t="s">
        <v>62</v>
      </c>
      <c r="F84" s="15" t="s">
        <v>24</v>
      </c>
      <c r="G84" s="7" t="s">
        <v>680</v>
      </c>
      <c r="H84" s="7" t="s">
        <v>681</v>
      </c>
      <c r="I84" s="7" t="s">
        <v>682</v>
      </c>
      <c r="J84" s="7" t="s">
        <v>683</v>
      </c>
      <c r="K84" s="7" t="s">
        <v>684</v>
      </c>
      <c r="L84" s="13" t="s">
        <v>681</v>
      </c>
      <c r="M84" s="13"/>
      <c r="N84" s="13" t="s">
        <v>27</v>
      </c>
      <c r="O84" s="13"/>
      <c r="P84" s="13" t="s">
        <v>198</v>
      </c>
      <c r="Q84" s="14" t="s">
        <v>199</v>
      </c>
      <c r="R84" s="7" t="s">
        <v>282</v>
      </c>
    </row>
    <row r="85" customFormat="false" ht="90" hidden="false" customHeight="true" outlineLevel="0" collapsed="false">
      <c r="A85" s="7" t="s">
        <v>685</v>
      </c>
      <c r="B85" s="7" t="s">
        <v>37</v>
      </c>
      <c r="C85" s="7" t="s">
        <v>48</v>
      </c>
      <c r="D85" s="9" t="s">
        <v>296</v>
      </c>
      <c r="E85" s="7" t="s">
        <v>62</v>
      </c>
      <c r="F85" s="15" t="s">
        <v>24</v>
      </c>
      <c r="G85" s="7" t="s">
        <v>686</v>
      </c>
      <c r="H85" s="7" t="s">
        <v>687</v>
      </c>
      <c r="I85" s="7" t="s">
        <v>688</v>
      </c>
      <c r="J85" s="7" t="s">
        <v>689</v>
      </c>
      <c r="K85" s="7" t="s">
        <v>690</v>
      </c>
      <c r="L85" s="13" t="s">
        <v>691</v>
      </c>
      <c r="M85" s="13"/>
      <c r="N85" s="13" t="s">
        <v>27</v>
      </c>
      <c r="O85" s="13"/>
      <c r="P85" s="13" t="s">
        <v>198</v>
      </c>
      <c r="Q85" s="14" t="s">
        <v>199</v>
      </c>
      <c r="R85" s="7" t="s">
        <v>303</v>
      </c>
    </row>
    <row r="86" customFormat="false" ht="90" hidden="false" customHeight="true" outlineLevel="0" collapsed="false">
      <c r="A86" s="7" t="s">
        <v>692</v>
      </c>
      <c r="B86" s="7" t="s">
        <v>37</v>
      </c>
      <c r="C86" s="7" t="s">
        <v>48</v>
      </c>
      <c r="D86" s="9" t="s">
        <v>305</v>
      </c>
      <c r="E86" s="7" t="s">
        <v>62</v>
      </c>
      <c r="F86" s="15" t="s">
        <v>24</v>
      </c>
      <c r="G86" s="7" t="s">
        <v>693</v>
      </c>
      <c r="H86" s="7" t="s">
        <v>694</v>
      </c>
      <c r="I86" s="7" t="s">
        <v>695</v>
      </c>
      <c r="J86" s="7"/>
      <c r="K86" s="7"/>
      <c r="L86" s="13" t="s">
        <v>694</v>
      </c>
      <c r="M86" s="13"/>
      <c r="N86" s="13" t="s">
        <v>27</v>
      </c>
      <c r="O86" s="13"/>
      <c r="P86" s="13" t="s">
        <v>198</v>
      </c>
      <c r="Q86" s="14" t="s">
        <v>199</v>
      </c>
      <c r="R86" s="7" t="s">
        <v>248</v>
      </c>
    </row>
    <row r="87" customFormat="false" ht="241.5" hidden="false" customHeight="true" outlineLevel="0" collapsed="false">
      <c r="A87" s="7" t="s">
        <v>696</v>
      </c>
      <c r="B87" s="7" t="s">
        <v>37</v>
      </c>
      <c r="C87" s="7" t="s">
        <v>51</v>
      </c>
      <c r="D87" s="9" t="s">
        <v>490</v>
      </c>
      <c r="E87" s="7" t="s">
        <v>81</v>
      </c>
      <c r="F87" s="12" t="s">
        <v>23</v>
      </c>
      <c r="G87" s="7" t="s">
        <v>697</v>
      </c>
      <c r="H87" s="7" t="s">
        <v>698</v>
      </c>
      <c r="I87" s="7" t="s">
        <v>699</v>
      </c>
      <c r="J87" s="7" t="s">
        <v>700</v>
      </c>
      <c r="K87" s="7" t="s">
        <v>701</v>
      </c>
      <c r="L87" s="13" t="s">
        <v>698</v>
      </c>
      <c r="M87" s="13"/>
      <c r="N87" s="13" t="s">
        <v>27</v>
      </c>
      <c r="O87" s="13" t="s">
        <v>702</v>
      </c>
      <c r="P87" s="13"/>
      <c r="Q87" s="13" t="s">
        <v>458</v>
      </c>
      <c r="R87" s="7" t="s">
        <v>703</v>
      </c>
    </row>
    <row r="88" customFormat="false" ht="90" hidden="false" customHeight="true" outlineLevel="0" collapsed="false">
      <c r="A88" s="7" t="s">
        <v>704</v>
      </c>
      <c r="B88" s="7" t="s">
        <v>37</v>
      </c>
      <c r="C88" s="7" t="s">
        <v>51</v>
      </c>
      <c r="D88" s="9" t="s">
        <v>309</v>
      </c>
      <c r="E88" s="7" t="s">
        <v>62</v>
      </c>
      <c r="F88" s="15" t="s">
        <v>24</v>
      </c>
      <c r="G88" s="7" t="s">
        <v>705</v>
      </c>
      <c r="H88" s="7" t="s">
        <v>706</v>
      </c>
      <c r="I88" s="7" t="s">
        <v>707</v>
      </c>
      <c r="J88" s="7"/>
      <c r="K88" s="7"/>
      <c r="L88" s="13" t="s">
        <v>706</v>
      </c>
      <c r="M88" s="13"/>
      <c r="N88" s="13" t="s">
        <v>27</v>
      </c>
      <c r="O88" s="13"/>
      <c r="P88" s="13" t="s">
        <v>198</v>
      </c>
      <c r="Q88" s="14" t="s">
        <v>240</v>
      </c>
      <c r="R88" s="7" t="s">
        <v>708</v>
      </c>
    </row>
    <row r="89" customFormat="false" ht="252.75" hidden="false" customHeight="true" outlineLevel="0" collapsed="false">
      <c r="A89" s="7" t="s">
        <v>709</v>
      </c>
      <c r="B89" s="7" t="s">
        <v>37</v>
      </c>
      <c r="C89" s="7" t="s">
        <v>51</v>
      </c>
      <c r="D89" s="9" t="s">
        <v>315</v>
      </c>
      <c r="E89" s="7" t="s">
        <v>81</v>
      </c>
      <c r="F89" s="12" t="s">
        <v>23</v>
      </c>
      <c r="G89" s="7" t="s">
        <v>316</v>
      </c>
      <c r="H89" s="7" t="s">
        <v>710</v>
      </c>
      <c r="I89" s="7" t="s">
        <v>711</v>
      </c>
      <c r="J89" s="7" t="s">
        <v>712</v>
      </c>
      <c r="K89" s="7" t="s">
        <v>713</v>
      </c>
      <c r="L89" s="13" t="s">
        <v>710</v>
      </c>
      <c r="M89" s="13"/>
      <c r="N89" s="13" t="s">
        <v>27</v>
      </c>
      <c r="O89" s="13" t="s">
        <v>552</v>
      </c>
      <c r="P89" s="13"/>
      <c r="Q89" s="7" t="s">
        <v>190</v>
      </c>
      <c r="R89" s="7"/>
    </row>
    <row r="90" customFormat="false" ht="90" hidden="false" customHeight="true" outlineLevel="0" collapsed="false">
      <c r="A90" s="7" t="s">
        <v>714</v>
      </c>
      <c r="B90" s="7" t="s">
        <v>37</v>
      </c>
      <c r="C90" s="7" t="s">
        <v>51</v>
      </c>
      <c r="D90" s="9" t="s">
        <v>322</v>
      </c>
      <c r="E90" s="7" t="s">
        <v>62</v>
      </c>
      <c r="F90" s="15" t="s">
        <v>24</v>
      </c>
      <c r="G90" s="7" t="s">
        <v>497</v>
      </c>
      <c r="H90" s="7" t="s">
        <v>715</v>
      </c>
      <c r="I90" s="7" t="s">
        <v>716</v>
      </c>
      <c r="J90" s="7"/>
      <c r="K90" s="7"/>
      <c r="L90" s="13" t="s">
        <v>715</v>
      </c>
      <c r="M90" s="13"/>
      <c r="N90" s="13" t="s">
        <v>27</v>
      </c>
      <c r="O90" s="13"/>
      <c r="P90" s="13" t="s">
        <v>198</v>
      </c>
      <c r="Q90" s="14" t="s">
        <v>240</v>
      </c>
      <c r="R90" s="7" t="s">
        <v>717</v>
      </c>
    </row>
    <row r="91" customFormat="false" ht="241.5" hidden="false" customHeight="true" outlineLevel="0" collapsed="false">
      <c r="A91" s="7" t="s">
        <v>718</v>
      </c>
      <c r="B91" s="7" t="s">
        <v>37</v>
      </c>
      <c r="C91" s="7" t="s">
        <v>51</v>
      </c>
      <c r="D91" s="9" t="s">
        <v>328</v>
      </c>
      <c r="E91" s="7" t="s">
        <v>81</v>
      </c>
      <c r="F91" s="12" t="s">
        <v>23</v>
      </c>
      <c r="G91" s="7" t="s">
        <v>719</v>
      </c>
      <c r="H91" s="7" t="s">
        <v>330</v>
      </c>
      <c r="I91" s="7" t="s">
        <v>720</v>
      </c>
      <c r="J91" s="7" t="s">
        <v>721</v>
      </c>
      <c r="K91" s="7" t="s">
        <v>722</v>
      </c>
      <c r="L91" s="13" t="s">
        <v>330</v>
      </c>
      <c r="M91" s="13"/>
      <c r="N91" s="13" t="s">
        <v>27</v>
      </c>
      <c r="O91" s="13" t="s">
        <v>552</v>
      </c>
      <c r="P91" s="13"/>
      <c r="Q91" s="7" t="s">
        <v>190</v>
      </c>
      <c r="R91" s="7"/>
    </row>
    <row r="92" customFormat="false" ht="90" hidden="false" customHeight="true" outlineLevel="0" collapsed="false">
      <c r="A92" s="7" t="s">
        <v>723</v>
      </c>
      <c r="B92" s="7" t="s">
        <v>37</v>
      </c>
      <c r="C92" s="7" t="s">
        <v>51</v>
      </c>
      <c r="D92" s="9" t="s">
        <v>335</v>
      </c>
      <c r="E92" s="7" t="s">
        <v>62</v>
      </c>
      <c r="F92" s="15" t="s">
        <v>24</v>
      </c>
      <c r="G92" s="7" t="s">
        <v>497</v>
      </c>
      <c r="H92" s="7" t="s">
        <v>724</v>
      </c>
      <c r="I92" s="7" t="s">
        <v>725</v>
      </c>
      <c r="J92" s="7"/>
      <c r="K92" s="7"/>
      <c r="L92" s="13" t="s">
        <v>724</v>
      </c>
      <c r="M92" s="13"/>
      <c r="N92" s="13" t="s">
        <v>27</v>
      </c>
      <c r="O92" s="13"/>
      <c r="P92" s="13" t="s">
        <v>198</v>
      </c>
      <c r="Q92" s="14" t="s">
        <v>240</v>
      </c>
      <c r="R92" s="7" t="s">
        <v>726</v>
      </c>
    </row>
    <row r="93" customFormat="false" ht="165" hidden="false" customHeight="true" outlineLevel="0" collapsed="false">
      <c r="A93" s="7" t="s">
        <v>727</v>
      </c>
      <c r="B93" s="7" t="s">
        <v>37</v>
      </c>
      <c r="C93" s="7" t="s">
        <v>51</v>
      </c>
      <c r="D93" s="9" t="s">
        <v>728</v>
      </c>
      <c r="E93" s="7" t="s">
        <v>81</v>
      </c>
      <c r="F93" s="12" t="s">
        <v>23</v>
      </c>
      <c r="G93" s="7" t="s">
        <v>729</v>
      </c>
      <c r="H93" s="7" t="s">
        <v>730</v>
      </c>
      <c r="I93" s="7" t="s">
        <v>731</v>
      </c>
      <c r="J93" s="7" t="s">
        <v>732</v>
      </c>
      <c r="K93" s="7" t="s">
        <v>733</v>
      </c>
      <c r="L93" s="13" t="s">
        <v>734</v>
      </c>
      <c r="M93" s="13"/>
      <c r="N93" s="13" t="s">
        <v>27</v>
      </c>
      <c r="O93" s="13" t="s">
        <v>735</v>
      </c>
      <c r="P93" s="13"/>
      <c r="Q93" s="13" t="s">
        <v>458</v>
      </c>
      <c r="R93" s="7" t="s">
        <v>736</v>
      </c>
    </row>
    <row r="94" customFormat="false" ht="142.5" hidden="false" customHeight="true" outlineLevel="0" collapsed="false">
      <c r="A94" s="7" t="s">
        <v>737</v>
      </c>
      <c r="B94" s="7" t="s">
        <v>37</v>
      </c>
      <c r="C94" s="7" t="s">
        <v>52</v>
      </c>
      <c r="D94" s="9" t="s">
        <v>738</v>
      </c>
      <c r="E94" s="7" t="s">
        <v>59</v>
      </c>
      <c r="F94" s="12" t="s">
        <v>23</v>
      </c>
      <c r="G94" s="7" t="s">
        <v>342</v>
      </c>
      <c r="H94" s="7" t="s">
        <v>343</v>
      </c>
      <c r="I94" s="7" t="s">
        <v>344</v>
      </c>
      <c r="J94" s="7" t="s">
        <v>739</v>
      </c>
      <c r="K94" s="7" t="s">
        <v>740</v>
      </c>
      <c r="L94" s="13" t="s">
        <v>343</v>
      </c>
      <c r="M94" s="13"/>
      <c r="N94" s="13" t="s">
        <v>27</v>
      </c>
      <c r="O94" s="13" t="s">
        <v>552</v>
      </c>
      <c r="P94" s="13"/>
      <c r="Q94" s="7" t="s">
        <v>190</v>
      </c>
      <c r="R94" s="7"/>
    </row>
    <row r="95" customFormat="false" ht="120.75" hidden="false" customHeight="true" outlineLevel="0" collapsed="false">
      <c r="A95" s="7" t="s">
        <v>741</v>
      </c>
      <c r="B95" s="7" t="s">
        <v>37</v>
      </c>
      <c r="C95" s="7" t="s">
        <v>52</v>
      </c>
      <c r="D95" s="9" t="s">
        <v>530</v>
      </c>
      <c r="E95" s="7" t="s">
        <v>59</v>
      </c>
      <c r="F95" s="12" t="s">
        <v>23</v>
      </c>
      <c r="G95" s="7" t="s">
        <v>342</v>
      </c>
      <c r="H95" s="7" t="s">
        <v>343</v>
      </c>
      <c r="I95" s="7" t="s">
        <v>344</v>
      </c>
      <c r="J95" s="7" t="s">
        <v>742</v>
      </c>
      <c r="K95" s="7" t="s">
        <v>743</v>
      </c>
      <c r="L95" s="13" t="s">
        <v>343</v>
      </c>
      <c r="M95" s="13"/>
      <c r="N95" s="13" t="s">
        <v>27</v>
      </c>
      <c r="O95" s="13" t="s">
        <v>552</v>
      </c>
      <c r="P95" s="13"/>
      <c r="Q95" s="7" t="s">
        <v>190</v>
      </c>
      <c r="R95" s="7"/>
    </row>
    <row r="96" customFormat="false" ht="109.5" hidden="false" customHeight="true" outlineLevel="0" collapsed="false">
      <c r="A96" s="7" t="s">
        <v>744</v>
      </c>
      <c r="B96" s="7" t="s">
        <v>37</v>
      </c>
      <c r="C96" s="7" t="s">
        <v>52</v>
      </c>
      <c r="D96" s="9" t="s">
        <v>341</v>
      </c>
      <c r="E96" s="7" t="s">
        <v>59</v>
      </c>
      <c r="F96" s="12" t="s">
        <v>23</v>
      </c>
      <c r="G96" s="7" t="s">
        <v>342</v>
      </c>
      <c r="H96" s="7" t="s">
        <v>343</v>
      </c>
      <c r="I96" s="7" t="s">
        <v>344</v>
      </c>
      <c r="J96" s="7" t="s">
        <v>745</v>
      </c>
      <c r="K96" s="7" t="s">
        <v>746</v>
      </c>
      <c r="L96" s="13" t="s">
        <v>343</v>
      </c>
      <c r="M96" s="13"/>
      <c r="N96" s="13" t="s">
        <v>27</v>
      </c>
      <c r="O96" s="13" t="s">
        <v>552</v>
      </c>
      <c r="P96" s="13"/>
      <c r="Q96" s="7" t="s">
        <v>190</v>
      </c>
      <c r="R96" s="7"/>
    </row>
    <row r="97" customFormat="false" ht="90" hidden="false" customHeight="true" outlineLevel="0" collapsed="false">
      <c r="A97" s="7" t="s">
        <v>747</v>
      </c>
      <c r="B97" s="7" t="s">
        <v>37</v>
      </c>
      <c r="C97" s="7" t="s">
        <v>42</v>
      </c>
      <c r="D97" s="9" t="s">
        <v>748</v>
      </c>
      <c r="E97" s="7" t="s">
        <v>62</v>
      </c>
      <c r="F97" s="15" t="s">
        <v>24</v>
      </c>
      <c r="G97" s="7" t="s">
        <v>439</v>
      </c>
      <c r="H97" s="7"/>
      <c r="I97" s="7" t="s">
        <v>749</v>
      </c>
      <c r="J97" s="7"/>
      <c r="K97" s="7"/>
      <c r="L97" s="13" t="s">
        <v>441</v>
      </c>
      <c r="M97" s="13"/>
      <c r="N97" s="13" t="s">
        <v>27</v>
      </c>
      <c r="O97" s="13"/>
      <c r="P97" s="13" t="s">
        <v>198</v>
      </c>
      <c r="Q97" s="14" t="s">
        <v>240</v>
      </c>
      <c r="R97" s="7" t="s">
        <v>750</v>
      </c>
    </row>
    <row r="98" customFormat="false" ht="90" hidden="false" customHeight="true" outlineLevel="0" collapsed="false">
      <c r="A98" s="7" t="s">
        <v>751</v>
      </c>
      <c r="B98" s="7" t="s">
        <v>38</v>
      </c>
      <c r="C98" s="7" t="s">
        <v>43</v>
      </c>
      <c r="D98" s="9" t="s">
        <v>752</v>
      </c>
      <c r="E98" s="7" t="s">
        <v>62</v>
      </c>
      <c r="F98" s="15" t="s">
        <v>24</v>
      </c>
      <c r="G98" s="7" t="s">
        <v>753</v>
      </c>
      <c r="H98" s="7" t="s">
        <v>754</v>
      </c>
      <c r="I98" s="7" t="s">
        <v>755</v>
      </c>
      <c r="J98" s="7"/>
      <c r="K98" s="7"/>
      <c r="L98" s="13" t="s">
        <v>754</v>
      </c>
      <c r="M98" s="13"/>
      <c r="N98" s="13" t="s">
        <v>27</v>
      </c>
      <c r="O98" s="13"/>
      <c r="P98" s="13" t="s">
        <v>198</v>
      </c>
      <c r="Q98" s="14" t="s">
        <v>199</v>
      </c>
      <c r="R98" s="7" t="s">
        <v>363</v>
      </c>
    </row>
    <row r="99" customFormat="false" ht="90" hidden="false" customHeight="true" outlineLevel="0" collapsed="false">
      <c r="A99" s="7" t="s">
        <v>756</v>
      </c>
      <c r="B99" s="7" t="s">
        <v>38</v>
      </c>
      <c r="C99" s="7" t="s">
        <v>43</v>
      </c>
      <c r="D99" s="9" t="s">
        <v>359</v>
      </c>
      <c r="E99" s="7" t="s">
        <v>62</v>
      </c>
      <c r="F99" s="15" t="s">
        <v>24</v>
      </c>
      <c r="G99" s="7" t="s">
        <v>757</v>
      </c>
      <c r="H99" s="7" t="s">
        <v>758</v>
      </c>
      <c r="I99" s="7" t="s">
        <v>759</v>
      </c>
      <c r="J99" s="7"/>
      <c r="K99" s="7"/>
      <c r="L99" s="13" t="s">
        <v>758</v>
      </c>
      <c r="M99" s="13"/>
      <c r="N99" s="13" t="s">
        <v>27</v>
      </c>
      <c r="O99" s="13"/>
      <c r="P99" s="13" t="s">
        <v>198</v>
      </c>
      <c r="Q99" s="14" t="s">
        <v>199</v>
      </c>
      <c r="R99" s="7" t="s">
        <v>363</v>
      </c>
    </row>
    <row r="100" customFormat="false" ht="90" hidden="false" customHeight="true" outlineLevel="0" collapsed="false">
      <c r="A100" s="7" t="s">
        <v>760</v>
      </c>
      <c r="B100" s="7" t="s">
        <v>38</v>
      </c>
      <c r="C100" s="7" t="s">
        <v>43</v>
      </c>
      <c r="D100" s="9" t="s">
        <v>365</v>
      </c>
      <c r="E100" s="7" t="s">
        <v>62</v>
      </c>
      <c r="F100" s="15" t="s">
        <v>24</v>
      </c>
      <c r="G100" s="7" t="s">
        <v>761</v>
      </c>
      <c r="H100" s="7" t="s">
        <v>762</v>
      </c>
      <c r="I100" s="7" t="s">
        <v>763</v>
      </c>
      <c r="J100" s="7"/>
      <c r="K100" s="7"/>
      <c r="L100" s="13" t="s">
        <v>762</v>
      </c>
      <c r="M100" s="13"/>
      <c r="N100" s="13" t="s">
        <v>27</v>
      </c>
      <c r="O100" s="13"/>
      <c r="P100" s="13" t="s">
        <v>198</v>
      </c>
      <c r="Q100" s="14" t="s">
        <v>199</v>
      </c>
      <c r="R100" s="7" t="s">
        <v>363</v>
      </c>
    </row>
    <row r="101" customFormat="false" ht="90" hidden="false" customHeight="true" outlineLevel="0" collapsed="false">
      <c r="A101" s="7" t="s">
        <v>764</v>
      </c>
      <c r="B101" s="7" t="s">
        <v>38</v>
      </c>
      <c r="C101" s="7" t="s">
        <v>44</v>
      </c>
      <c r="D101" s="9" t="s">
        <v>192</v>
      </c>
      <c r="E101" s="7" t="s">
        <v>62</v>
      </c>
      <c r="F101" s="15" t="s">
        <v>24</v>
      </c>
      <c r="G101" s="7" t="s">
        <v>765</v>
      </c>
      <c r="H101" s="7" t="s">
        <v>766</v>
      </c>
      <c r="I101" s="7" t="s">
        <v>372</v>
      </c>
      <c r="J101" s="7" t="s">
        <v>767</v>
      </c>
      <c r="K101" s="7" t="s">
        <v>768</v>
      </c>
      <c r="L101" s="13" t="s">
        <v>766</v>
      </c>
      <c r="M101" s="13"/>
      <c r="N101" s="13" t="s">
        <v>27</v>
      </c>
      <c r="O101" s="13"/>
      <c r="P101" s="13" t="s">
        <v>198</v>
      </c>
      <c r="Q101" s="14" t="s">
        <v>199</v>
      </c>
      <c r="R101" s="7" t="s">
        <v>375</v>
      </c>
    </row>
    <row r="102" customFormat="false" ht="90" hidden="false" customHeight="true" outlineLevel="0" collapsed="false">
      <c r="A102" s="7" t="s">
        <v>769</v>
      </c>
      <c r="B102" s="7" t="s">
        <v>38</v>
      </c>
      <c r="C102" s="7" t="s">
        <v>44</v>
      </c>
      <c r="D102" s="9" t="s">
        <v>202</v>
      </c>
      <c r="E102" s="7" t="s">
        <v>62</v>
      </c>
      <c r="F102" s="15" t="s">
        <v>24</v>
      </c>
      <c r="G102" s="7" t="s">
        <v>770</v>
      </c>
      <c r="H102" s="7" t="s">
        <v>771</v>
      </c>
      <c r="I102" s="7" t="s">
        <v>772</v>
      </c>
      <c r="J102" s="7" t="s">
        <v>773</v>
      </c>
      <c r="K102" s="7" t="s">
        <v>774</v>
      </c>
      <c r="L102" s="13" t="s">
        <v>771</v>
      </c>
      <c r="M102" s="13"/>
      <c r="N102" s="13" t="s">
        <v>27</v>
      </c>
      <c r="O102" s="13"/>
      <c r="P102" s="13" t="s">
        <v>198</v>
      </c>
      <c r="Q102" s="14" t="s">
        <v>199</v>
      </c>
      <c r="R102" s="7" t="s">
        <v>208</v>
      </c>
    </row>
    <row r="103" customFormat="false" ht="99" hidden="false" customHeight="true" outlineLevel="0" collapsed="false">
      <c r="A103" s="7" t="s">
        <v>775</v>
      </c>
      <c r="B103" s="7" t="s">
        <v>38</v>
      </c>
      <c r="C103" s="7" t="s">
        <v>45</v>
      </c>
      <c r="D103" s="9" t="s">
        <v>229</v>
      </c>
      <c r="E103" s="7" t="s">
        <v>74</v>
      </c>
      <c r="F103" s="12" t="s">
        <v>23</v>
      </c>
      <c r="G103" s="7" t="s">
        <v>230</v>
      </c>
      <c r="H103" s="7" t="s">
        <v>231</v>
      </c>
      <c r="I103" s="7" t="s">
        <v>232</v>
      </c>
      <c r="J103" s="7" t="s">
        <v>776</v>
      </c>
      <c r="K103" s="7" t="s">
        <v>777</v>
      </c>
      <c r="L103" s="13" t="s">
        <v>231</v>
      </c>
      <c r="M103" s="13"/>
      <c r="N103" s="13" t="s">
        <v>27</v>
      </c>
      <c r="O103" s="13" t="s">
        <v>552</v>
      </c>
      <c r="P103" s="13"/>
      <c r="Q103" s="7" t="s">
        <v>190</v>
      </c>
      <c r="R103" s="7"/>
    </row>
    <row r="104" customFormat="false" ht="90" hidden="false" customHeight="true" outlineLevel="0" collapsed="false">
      <c r="A104" s="7" t="s">
        <v>778</v>
      </c>
      <c r="B104" s="7" t="s">
        <v>38</v>
      </c>
      <c r="C104" s="7" t="s">
        <v>45</v>
      </c>
      <c r="D104" s="9" t="s">
        <v>236</v>
      </c>
      <c r="E104" s="7" t="s">
        <v>62</v>
      </c>
      <c r="F104" s="15" t="s">
        <v>24</v>
      </c>
      <c r="G104" s="7" t="s">
        <v>779</v>
      </c>
      <c r="H104" s="7" t="s">
        <v>780</v>
      </c>
      <c r="I104" s="7" t="s">
        <v>781</v>
      </c>
      <c r="J104" s="7"/>
      <c r="K104" s="7"/>
      <c r="L104" s="13" t="s">
        <v>780</v>
      </c>
      <c r="M104" s="13"/>
      <c r="N104" s="13" t="s">
        <v>27</v>
      </c>
      <c r="O104" s="13"/>
      <c r="P104" s="13" t="s">
        <v>198</v>
      </c>
      <c r="Q104" s="14" t="s">
        <v>240</v>
      </c>
      <c r="R104" s="7" t="s">
        <v>782</v>
      </c>
    </row>
    <row r="105" customFormat="false" ht="90" hidden="false" customHeight="true" outlineLevel="0" collapsed="false">
      <c r="A105" s="7" t="s">
        <v>783</v>
      </c>
      <c r="B105" s="7" t="s">
        <v>38</v>
      </c>
      <c r="C105" s="7" t="s">
        <v>46</v>
      </c>
      <c r="D105" s="9" t="s">
        <v>243</v>
      </c>
      <c r="E105" s="7" t="s">
        <v>62</v>
      </c>
      <c r="F105" s="15" t="s">
        <v>24</v>
      </c>
      <c r="G105" s="7" t="s">
        <v>705</v>
      </c>
      <c r="H105" s="7" t="s">
        <v>784</v>
      </c>
      <c r="I105" s="7" t="s">
        <v>785</v>
      </c>
      <c r="J105" s="7"/>
      <c r="K105" s="7"/>
      <c r="L105" s="13" t="s">
        <v>784</v>
      </c>
      <c r="M105" s="13"/>
      <c r="N105" s="13" t="s">
        <v>27</v>
      </c>
      <c r="O105" s="13"/>
      <c r="P105" s="13" t="s">
        <v>198</v>
      </c>
      <c r="Q105" s="14" t="s">
        <v>199</v>
      </c>
      <c r="R105" s="7" t="s">
        <v>248</v>
      </c>
    </row>
    <row r="106" customFormat="false" ht="109.5" hidden="false" customHeight="true" outlineLevel="0" collapsed="false">
      <c r="A106" s="7" t="s">
        <v>786</v>
      </c>
      <c r="B106" s="7" t="s">
        <v>38</v>
      </c>
      <c r="C106" s="7" t="s">
        <v>46</v>
      </c>
      <c r="D106" s="9" t="s">
        <v>575</v>
      </c>
      <c r="E106" s="7" t="s">
        <v>81</v>
      </c>
      <c r="F106" s="12" t="s">
        <v>23</v>
      </c>
      <c r="G106" s="7" t="s">
        <v>787</v>
      </c>
      <c r="H106" s="7" t="s">
        <v>788</v>
      </c>
      <c r="I106" s="7" t="s">
        <v>789</v>
      </c>
      <c r="J106" s="7" t="s">
        <v>790</v>
      </c>
      <c r="K106" s="7" t="s">
        <v>791</v>
      </c>
      <c r="L106" s="13" t="s">
        <v>792</v>
      </c>
      <c r="M106" s="13"/>
      <c r="N106" s="13" t="s">
        <v>27</v>
      </c>
      <c r="O106" s="13" t="s">
        <v>552</v>
      </c>
      <c r="P106" s="13"/>
      <c r="Q106" s="7" t="s">
        <v>190</v>
      </c>
      <c r="R106" s="7"/>
    </row>
    <row r="107" customFormat="false" ht="90" hidden="false" customHeight="true" outlineLevel="0" collapsed="false">
      <c r="A107" s="7" t="s">
        <v>793</v>
      </c>
      <c r="B107" s="7" t="s">
        <v>38</v>
      </c>
      <c r="C107" s="7" t="s">
        <v>46</v>
      </c>
      <c r="D107" s="9" t="s">
        <v>250</v>
      </c>
      <c r="E107" s="7" t="s">
        <v>62</v>
      </c>
      <c r="F107" s="15" t="s">
        <v>24</v>
      </c>
      <c r="G107" s="7" t="s">
        <v>619</v>
      </c>
      <c r="H107" s="7" t="s">
        <v>794</v>
      </c>
      <c r="I107" s="7" t="s">
        <v>795</v>
      </c>
      <c r="J107" s="7"/>
      <c r="K107" s="7"/>
      <c r="L107" s="13" t="s">
        <v>794</v>
      </c>
      <c r="M107" s="13"/>
      <c r="N107" s="13" t="s">
        <v>27</v>
      </c>
      <c r="O107" s="13"/>
      <c r="P107" s="13" t="s">
        <v>198</v>
      </c>
      <c r="Q107" s="14" t="s">
        <v>240</v>
      </c>
      <c r="R107" s="7" t="s">
        <v>796</v>
      </c>
    </row>
    <row r="108" customFormat="false" ht="153.75" hidden="false" customHeight="true" outlineLevel="0" collapsed="false">
      <c r="A108" s="7" t="s">
        <v>797</v>
      </c>
      <c r="B108" s="7" t="s">
        <v>38</v>
      </c>
      <c r="C108" s="7" t="s">
        <v>46</v>
      </c>
      <c r="D108" s="9" t="s">
        <v>594</v>
      </c>
      <c r="E108" s="7" t="s">
        <v>59</v>
      </c>
      <c r="F108" s="12" t="s">
        <v>23</v>
      </c>
      <c r="G108" s="7" t="s">
        <v>798</v>
      </c>
      <c r="H108" s="7" t="s">
        <v>799</v>
      </c>
      <c r="I108" s="7" t="s">
        <v>597</v>
      </c>
      <c r="J108" s="7" t="s">
        <v>800</v>
      </c>
      <c r="K108" s="7" t="s">
        <v>801</v>
      </c>
      <c r="L108" s="13" t="s">
        <v>799</v>
      </c>
      <c r="M108" s="13"/>
      <c r="N108" s="13" t="s">
        <v>27</v>
      </c>
      <c r="O108" s="13" t="s">
        <v>552</v>
      </c>
      <c r="P108" s="13"/>
      <c r="Q108" s="7" t="s">
        <v>190</v>
      </c>
      <c r="R108" s="7"/>
    </row>
    <row r="109" customFormat="false" ht="198" hidden="false" customHeight="true" outlineLevel="0" collapsed="false">
      <c r="A109" s="7" t="s">
        <v>802</v>
      </c>
      <c r="B109" s="7" t="s">
        <v>38</v>
      </c>
      <c r="C109" s="7" t="s">
        <v>46</v>
      </c>
      <c r="D109" s="9" t="s">
        <v>431</v>
      </c>
      <c r="E109" s="7" t="s">
        <v>81</v>
      </c>
      <c r="F109" s="12" t="s">
        <v>23</v>
      </c>
      <c r="G109" s="7" t="s">
        <v>803</v>
      </c>
      <c r="H109" s="7" t="s">
        <v>804</v>
      </c>
      <c r="I109" s="7" t="s">
        <v>805</v>
      </c>
      <c r="J109" s="7" t="s">
        <v>806</v>
      </c>
      <c r="K109" s="7" t="s">
        <v>807</v>
      </c>
      <c r="L109" s="13" t="s">
        <v>804</v>
      </c>
      <c r="M109" s="13"/>
      <c r="N109" s="13" t="s">
        <v>27</v>
      </c>
      <c r="O109" s="13" t="s">
        <v>552</v>
      </c>
      <c r="P109" s="13"/>
      <c r="Q109" s="7" t="s">
        <v>190</v>
      </c>
      <c r="R109" s="7"/>
    </row>
    <row r="110" customFormat="false" ht="90" hidden="false" customHeight="true" outlineLevel="0" collapsed="false">
      <c r="A110" s="7" t="s">
        <v>808</v>
      </c>
      <c r="B110" s="7" t="s">
        <v>38</v>
      </c>
      <c r="C110" s="7" t="s">
        <v>46</v>
      </c>
      <c r="D110" s="9" t="s">
        <v>438</v>
      </c>
      <c r="E110" s="7" t="s">
        <v>62</v>
      </c>
      <c r="F110" s="15" t="s">
        <v>24</v>
      </c>
      <c r="G110" s="7" t="s">
        <v>406</v>
      </c>
      <c r="H110" s="7" t="s">
        <v>809</v>
      </c>
      <c r="I110" s="7"/>
      <c r="J110" s="7"/>
      <c r="K110" s="7"/>
      <c r="L110" s="13" t="s">
        <v>809</v>
      </c>
      <c r="M110" s="13"/>
      <c r="N110" s="13" t="s">
        <v>27</v>
      </c>
      <c r="O110" s="13"/>
      <c r="P110" s="13" t="s">
        <v>198</v>
      </c>
      <c r="Q110" s="14" t="s">
        <v>240</v>
      </c>
      <c r="R110" s="7" t="s">
        <v>810</v>
      </c>
    </row>
    <row r="111" customFormat="false" ht="208.5" hidden="false" customHeight="true" outlineLevel="0" collapsed="false">
      <c r="A111" s="7" t="s">
        <v>811</v>
      </c>
      <c r="B111" s="7" t="s">
        <v>38</v>
      </c>
      <c r="C111" s="7" t="s">
        <v>46</v>
      </c>
      <c r="D111" s="9" t="s">
        <v>444</v>
      </c>
      <c r="E111" s="7" t="s">
        <v>81</v>
      </c>
      <c r="F111" s="12" t="s">
        <v>23</v>
      </c>
      <c r="G111" s="7" t="s">
        <v>812</v>
      </c>
      <c r="H111" s="7" t="s">
        <v>813</v>
      </c>
      <c r="I111" s="7" t="s">
        <v>814</v>
      </c>
      <c r="J111" s="7" t="s">
        <v>815</v>
      </c>
      <c r="K111" s="7" t="s">
        <v>816</v>
      </c>
      <c r="L111" s="13" t="s">
        <v>813</v>
      </c>
      <c r="M111" s="13"/>
      <c r="N111" s="13" t="s">
        <v>27</v>
      </c>
      <c r="O111" s="13" t="s">
        <v>817</v>
      </c>
      <c r="P111" s="13"/>
      <c r="Q111" s="7" t="s">
        <v>190</v>
      </c>
      <c r="R111" s="7"/>
    </row>
    <row r="112" customFormat="false" ht="285.75" hidden="false" customHeight="true" outlineLevel="0" collapsed="false">
      <c r="A112" s="7" t="s">
        <v>818</v>
      </c>
      <c r="B112" s="7" t="s">
        <v>38</v>
      </c>
      <c r="C112" s="7" t="s">
        <v>46</v>
      </c>
      <c r="D112" s="9" t="s">
        <v>819</v>
      </c>
      <c r="E112" s="7" t="s">
        <v>81</v>
      </c>
      <c r="F112" s="12" t="s">
        <v>23</v>
      </c>
      <c r="G112" s="7" t="s">
        <v>820</v>
      </c>
      <c r="H112" s="7" t="s">
        <v>821</v>
      </c>
      <c r="I112" s="7" t="s">
        <v>822</v>
      </c>
      <c r="J112" s="7" t="s">
        <v>823</v>
      </c>
      <c r="K112" s="7" t="s">
        <v>824</v>
      </c>
      <c r="L112" s="13" t="s">
        <v>825</v>
      </c>
      <c r="M112" s="13"/>
      <c r="N112" s="13" t="s">
        <v>27</v>
      </c>
      <c r="O112" s="13" t="s">
        <v>826</v>
      </c>
      <c r="P112" s="13"/>
      <c r="Q112" s="7" t="s">
        <v>190</v>
      </c>
      <c r="R112" s="7"/>
    </row>
    <row r="113" customFormat="false" ht="165" hidden="false" customHeight="true" outlineLevel="0" collapsed="false">
      <c r="A113" s="7" t="s">
        <v>827</v>
      </c>
      <c r="B113" s="7" t="s">
        <v>38</v>
      </c>
      <c r="C113" s="7" t="s">
        <v>47</v>
      </c>
      <c r="D113" s="9" t="s">
        <v>641</v>
      </c>
      <c r="E113" s="7" t="s">
        <v>59</v>
      </c>
      <c r="F113" s="12" t="s">
        <v>23</v>
      </c>
      <c r="G113" s="7" t="s">
        <v>828</v>
      </c>
      <c r="H113" s="7" t="s">
        <v>643</v>
      </c>
      <c r="I113" s="7" t="s">
        <v>829</v>
      </c>
      <c r="J113" s="7" t="s">
        <v>830</v>
      </c>
      <c r="K113" s="7" t="s">
        <v>831</v>
      </c>
      <c r="L113" s="13" t="s">
        <v>829</v>
      </c>
      <c r="M113" s="13"/>
      <c r="N113" s="13" t="s">
        <v>27</v>
      </c>
      <c r="O113" s="13" t="s">
        <v>639</v>
      </c>
      <c r="P113" s="13"/>
      <c r="Q113" s="7" t="s">
        <v>190</v>
      </c>
      <c r="R113" s="7"/>
    </row>
    <row r="114" customFormat="false" ht="219.75" hidden="false" customHeight="true" outlineLevel="0" collapsed="false">
      <c r="A114" s="7" t="s">
        <v>832</v>
      </c>
      <c r="B114" s="7" t="s">
        <v>38</v>
      </c>
      <c r="C114" s="7" t="s">
        <v>47</v>
      </c>
      <c r="D114" s="9" t="s">
        <v>648</v>
      </c>
      <c r="E114" s="7" t="s">
        <v>81</v>
      </c>
      <c r="F114" s="12" t="s">
        <v>23</v>
      </c>
      <c r="G114" s="7" t="s">
        <v>833</v>
      </c>
      <c r="H114" s="7" t="s">
        <v>834</v>
      </c>
      <c r="I114" s="7" t="s">
        <v>835</v>
      </c>
      <c r="J114" s="7" t="s">
        <v>836</v>
      </c>
      <c r="K114" s="7" t="s">
        <v>837</v>
      </c>
      <c r="L114" s="13" t="s">
        <v>834</v>
      </c>
      <c r="M114" s="13"/>
      <c r="N114" s="13" t="s">
        <v>27</v>
      </c>
      <c r="O114" s="13" t="s">
        <v>552</v>
      </c>
      <c r="P114" s="13"/>
      <c r="Q114" s="7" t="s">
        <v>190</v>
      </c>
      <c r="R114" s="7"/>
    </row>
    <row r="115" customFormat="false" ht="241.5" hidden="false" customHeight="true" outlineLevel="0" collapsed="false">
      <c r="A115" s="7" t="s">
        <v>838</v>
      </c>
      <c r="B115" s="7" t="s">
        <v>38</v>
      </c>
      <c r="C115" s="7" t="s">
        <v>47</v>
      </c>
      <c r="D115" s="9" t="s">
        <v>657</v>
      </c>
      <c r="E115" s="7" t="s">
        <v>81</v>
      </c>
      <c r="F115" s="12" t="s">
        <v>23</v>
      </c>
      <c r="G115" s="7" t="s">
        <v>839</v>
      </c>
      <c r="H115" s="7" t="s">
        <v>840</v>
      </c>
      <c r="I115" s="7" t="s">
        <v>841</v>
      </c>
      <c r="J115" s="7" t="s">
        <v>842</v>
      </c>
      <c r="K115" s="7" t="s">
        <v>843</v>
      </c>
      <c r="L115" s="13" t="s">
        <v>844</v>
      </c>
      <c r="M115" s="13"/>
      <c r="N115" s="13" t="s">
        <v>27</v>
      </c>
      <c r="O115" s="13" t="s">
        <v>845</v>
      </c>
      <c r="P115" s="13"/>
      <c r="Q115" s="13" t="s">
        <v>458</v>
      </c>
      <c r="R115" s="7" t="s">
        <v>846</v>
      </c>
    </row>
    <row r="116" customFormat="false" ht="90" hidden="false" customHeight="true" outlineLevel="0" collapsed="false">
      <c r="A116" s="7" t="s">
        <v>847</v>
      </c>
      <c r="B116" s="7" t="s">
        <v>38</v>
      </c>
      <c r="C116" s="7" t="s">
        <v>47</v>
      </c>
      <c r="D116" s="9" t="s">
        <v>665</v>
      </c>
      <c r="E116" s="7" t="s">
        <v>62</v>
      </c>
      <c r="F116" s="15" t="s">
        <v>24</v>
      </c>
      <c r="G116" s="7" t="s">
        <v>244</v>
      </c>
      <c r="H116" s="7" t="s">
        <v>848</v>
      </c>
      <c r="I116" s="7" t="s">
        <v>849</v>
      </c>
      <c r="J116" s="7"/>
      <c r="K116" s="7"/>
      <c r="L116" s="13" t="s">
        <v>849</v>
      </c>
      <c r="M116" s="13"/>
      <c r="N116" s="13" t="s">
        <v>27</v>
      </c>
      <c r="O116" s="13"/>
      <c r="P116" s="13" t="s">
        <v>198</v>
      </c>
      <c r="Q116" s="14" t="s">
        <v>240</v>
      </c>
      <c r="R116" s="7" t="s">
        <v>850</v>
      </c>
    </row>
    <row r="117" customFormat="false" ht="231" hidden="false" customHeight="true" outlineLevel="0" collapsed="false">
      <c r="A117" s="7" t="s">
        <v>851</v>
      </c>
      <c r="B117" s="7" t="s">
        <v>38</v>
      </c>
      <c r="C117" s="7" t="s">
        <v>48</v>
      </c>
      <c r="D117" s="9" t="s">
        <v>451</v>
      </c>
      <c r="E117" s="7" t="s">
        <v>81</v>
      </c>
      <c r="F117" s="12" t="s">
        <v>23</v>
      </c>
      <c r="G117" s="7" t="s">
        <v>852</v>
      </c>
      <c r="H117" s="7" t="s">
        <v>853</v>
      </c>
      <c r="I117" s="7" t="s">
        <v>854</v>
      </c>
      <c r="J117" s="7" t="s">
        <v>855</v>
      </c>
      <c r="K117" s="7" t="s">
        <v>856</v>
      </c>
      <c r="L117" s="13" t="s">
        <v>853</v>
      </c>
      <c r="M117" s="13"/>
      <c r="N117" s="13" t="s">
        <v>27</v>
      </c>
      <c r="O117" s="13" t="s">
        <v>552</v>
      </c>
      <c r="P117" s="13"/>
      <c r="Q117" s="7" t="s">
        <v>190</v>
      </c>
      <c r="R117" s="7"/>
    </row>
    <row r="118" customFormat="false" ht="132" hidden="false" customHeight="true" outlineLevel="0" collapsed="false">
      <c r="A118" s="7" t="s">
        <v>857</v>
      </c>
      <c r="B118" s="7" t="s">
        <v>38</v>
      </c>
      <c r="C118" s="7" t="s">
        <v>48</v>
      </c>
      <c r="D118" s="9" t="s">
        <v>255</v>
      </c>
      <c r="E118" s="7" t="s">
        <v>59</v>
      </c>
      <c r="F118" s="12" t="s">
        <v>23</v>
      </c>
      <c r="G118" s="7" t="s">
        <v>858</v>
      </c>
      <c r="H118" s="7" t="s">
        <v>859</v>
      </c>
      <c r="I118" s="7" t="s">
        <v>257</v>
      </c>
      <c r="J118" s="7" t="s">
        <v>860</v>
      </c>
      <c r="K118" s="7" t="s">
        <v>861</v>
      </c>
      <c r="L118" s="13" t="s">
        <v>859</v>
      </c>
      <c r="M118" s="13"/>
      <c r="N118" s="13" t="s">
        <v>27</v>
      </c>
      <c r="O118" s="13" t="s">
        <v>552</v>
      </c>
      <c r="P118" s="13"/>
      <c r="Q118" s="7" t="s">
        <v>190</v>
      </c>
      <c r="R118" s="7"/>
    </row>
    <row r="119" customFormat="false" ht="90" hidden="false" customHeight="true" outlineLevel="0" collapsed="false">
      <c r="A119" s="7" t="s">
        <v>862</v>
      </c>
      <c r="B119" s="7" t="s">
        <v>38</v>
      </c>
      <c r="C119" s="7" t="s">
        <v>48</v>
      </c>
      <c r="D119" s="9" t="s">
        <v>262</v>
      </c>
      <c r="E119" s="7" t="s">
        <v>62</v>
      </c>
      <c r="F119" s="15" t="s">
        <v>24</v>
      </c>
      <c r="G119" s="7" t="s">
        <v>863</v>
      </c>
      <c r="H119" s="7" t="s">
        <v>864</v>
      </c>
      <c r="I119" s="7" t="s">
        <v>865</v>
      </c>
      <c r="J119" s="7" t="s">
        <v>866</v>
      </c>
      <c r="K119" s="7" t="s">
        <v>867</v>
      </c>
      <c r="L119" s="13" t="s">
        <v>864</v>
      </c>
      <c r="M119" s="13"/>
      <c r="N119" s="13" t="s">
        <v>27</v>
      </c>
      <c r="O119" s="13"/>
      <c r="P119" s="13" t="s">
        <v>198</v>
      </c>
      <c r="Q119" s="14" t="s">
        <v>199</v>
      </c>
      <c r="R119" s="7" t="s">
        <v>673</v>
      </c>
    </row>
    <row r="120" customFormat="false" ht="90" hidden="false" customHeight="true" outlineLevel="0" collapsed="false">
      <c r="A120" s="7" t="s">
        <v>868</v>
      </c>
      <c r="B120" s="7" t="s">
        <v>38</v>
      </c>
      <c r="C120" s="7" t="s">
        <v>49</v>
      </c>
      <c r="D120" s="9" t="s">
        <v>269</v>
      </c>
      <c r="E120" s="7" t="s">
        <v>59</v>
      </c>
      <c r="F120" s="12" t="s">
        <v>23</v>
      </c>
      <c r="G120" s="7" t="s">
        <v>869</v>
      </c>
      <c r="H120" s="7" t="s">
        <v>870</v>
      </c>
      <c r="I120" s="7" t="s">
        <v>871</v>
      </c>
      <c r="J120" s="7" t="s">
        <v>872</v>
      </c>
      <c r="K120" s="7" t="s">
        <v>873</v>
      </c>
      <c r="L120" s="13" t="n">
        <v>29</v>
      </c>
      <c r="M120" s="13"/>
      <c r="N120" s="13" t="s">
        <v>27</v>
      </c>
      <c r="O120" s="13" t="s">
        <v>552</v>
      </c>
      <c r="P120" s="13"/>
      <c r="Q120" s="7" t="s">
        <v>190</v>
      </c>
      <c r="R120" s="7"/>
    </row>
    <row r="121" customFormat="false" ht="90" hidden="false" customHeight="true" outlineLevel="0" collapsed="false">
      <c r="A121" s="7" t="s">
        <v>874</v>
      </c>
      <c r="B121" s="7" t="s">
        <v>38</v>
      </c>
      <c r="C121" s="7" t="s">
        <v>48</v>
      </c>
      <c r="D121" s="9" t="s">
        <v>276</v>
      </c>
      <c r="E121" s="7" t="s">
        <v>62</v>
      </c>
      <c r="F121" s="15" t="s">
        <v>24</v>
      </c>
      <c r="G121" s="7" t="s">
        <v>377</v>
      </c>
      <c r="H121" s="7" t="s">
        <v>875</v>
      </c>
      <c r="I121" s="7" t="s">
        <v>876</v>
      </c>
      <c r="J121" s="7" t="s">
        <v>877</v>
      </c>
      <c r="K121" s="7" t="s">
        <v>878</v>
      </c>
      <c r="L121" s="13" t="s">
        <v>875</v>
      </c>
      <c r="M121" s="13"/>
      <c r="N121" s="13" t="s">
        <v>27</v>
      </c>
      <c r="O121" s="13"/>
      <c r="P121" s="13" t="s">
        <v>198</v>
      </c>
      <c r="Q121" s="14" t="s">
        <v>199</v>
      </c>
      <c r="R121" s="7" t="s">
        <v>282</v>
      </c>
    </row>
    <row r="122" customFormat="false" ht="90" hidden="false" customHeight="true" outlineLevel="0" collapsed="false">
      <c r="A122" s="7" t="s">
        <v>879</v>
      </c>
      <c r="B122" s="7" t="s">
        <v>38</v>
      </c>
      <c r="C122" s="7" t="s">
        <v>48</v>
      </c>
      <c r="D122" s="9" t="s">
        <v>284</v>
      </c>
      <c r="E122" s="7" t="s">
        <v>59</v>
      </c>
      <c r="F122" s="12" t="s">
        <v>23</v>
      </c>
      <c r="G122" s="7" t="s">
        <v>880</v>
      </c>
      <c r="H122" s="7" t="s">
        <v>881</v>
      </c>
      <c r="I122" s="7" t="s">
        <v>882</v>
      </c>
      <c r="J122" s="7" t="s">
        <v>883</v>
      </c>
      <c r="K122" s="7" t="s">
        <v>884</v>
      </c>
      <c r="L122" s="13" t="s">
        <v>885</v>
      </c>
      <c r="M122" s="13" t="s">
        <v>886</v>
      </c>
      <c r="N122" s="13" t="s">
        <v>27</v>
      </c>
      <c r="O122" s="13" t="s">
        <v>887</v>
      </c>
      <c r="P122" s="13"/>
      <c r="Q122" s="16" t="s">
        <v>293</v>
      </c>
      <c r="R122" s="7" t="s">
        <v>888</v>
      </c>
    </row>
    <row r="123" customFormat="false" ht="90" hidden="false" customHeight="true" outlineLevel="0" collapsed="false">
      <c r="A123" s="7" t="s">
        <v>889</v>
      </c>
      <c r="B123" s="7" t="s">
        <v>38</v>
      </c>
      <c r="C123" s="7" t="s">
        <v>48</v>
      </c>
      <c r="D123" s="9" t="s">
        <v>296</v>
      </c>
      <c r="E123" s="7" t="s">
        <v>62</v>
      </c>
      <c r="F123" s="15" t="s">
        <v>24</v>
      </c>
      <c r="G123" s="7" t="s">
        <v>890</v>
      </c>
      <c r="H123" s="7" t="s">
        <v>891</v>
      </c>
      <c r="I123" s="7" t="s">
        <v>892</v>
      </c>
      <c r="J123" s="7" t="s">
        <v>893</v>
      </c>
      <c r="K123" s="7" t="s">
        <v>894</v>
      </c>
      <c r="L123" s="13" t="s">
        <v>895</v>
      </c>
      <c r="M123" s="13"/>
      <c r="N123" s="13" t="s">
        <v>27</v>
      </c>
      <c r="O123" s="13"/>
      <c r="P123" s="13" t="s">
        <v>198</v>
      </c>
      <c r="Q123" s="14" t="s">
        <v>199</v>
      </c>
      <c r="R123" s="7" t="s">
        <v>303</v>
      </c>
    </row>
    <row r="124" customFormat="false" ht="90" hidden="false" customHeight="true" outlineLevel="0" collapsed="false">
      <c r="A124" s="7" t="s">
        <v>896</v>
      </c>
      <c r="B124" s="7" t="s">
        <v>38</v>
      </c>
      <c r="C124" s="7" t="s">
        <v>48</v>
      </c>
      <c r="D124" s="9" t="s">
        <v>305</v>
      </c>
      <c r="E124" s="7" t="s">
        <v>62</v>
      </c>
      <c r="F124" s="15" t="s">
        <v>24</v>
      </c>
      <c r="G124" s="7" t="s">
        <v>497</v>
      </c>
      <c r="H124" s="7" t="s">
        <v>897</v>
      </c>
      <c r="I124" s="7" t="s">
        <v>898</v>
      </c>
      <c r="J124" s="7"/>
      <c r="K124" s="7"/>
      <c r="L124" s="13" t="s">
        <v>897</v>
      </c>
      <c r="M124" s="13"/>
      <c r="N124" s="13" t="s">
        <v>27</v>
      </c>
      <c r="O124" s="13"/>
      <c r="P124" s="13" t="s">
        <v>198</v>
      </c>
      <c r="Q124" s="14" t="s">
        <v>199</v>
      </c>
      <c r="R124" s="7" t="s">
        <v>248</v>
      </c>
    </row>
    <row r="125" customFormat="false" ht="90" hidden="false" customHeight="true" outlineLevel="0" collapsed="false">
      <c r="A125" s="7" t="s">
        <v>899</v>
      </c>
      <c r="B125" s="7" t="s">
        <v>38</v>
      </c>
      <c r="C125" s="7" t="s">
        <v>51</v>
      </c>
      <c r="D125" s="9" t="s">
        <v>309</v>
      </c>
      <c r="E125" s="7" t="s">
        <v>62</v>
      </c>
      <c r="F125" s="15" t="s">
        <v>24</v>
      </c>
      <c r="G125" s="7" t="s">
        <v>244</v>
      </c>
      <c r="H125" s="7" t="s">
        <v>900</v>
      </c>
      <c r="I125" s="7" t="s">
        <v>901</v>
      </c>
      <c r="J125" s="7"/>
      <c r="K125" s="7"/>
      <c r="L125" s="13" t="s">
        <v>900</v>
      </c>
      <c r="M125" s="13"/>
      <c r="N125" s="13" t="s">
        <v>27</v>
      </c>
      <c r="O125" s="13"/>
      <c r="P125" s="13" t="s">
        <v>198</v>
      </c>
      <c r="Q125" s="14" t="s">
        <v>199</v>
      </c>
      <c r="R125" s="7" t="s">
        <v>248</v>
      </c>
    </row>
    <row r="126" customFormat="false" ht="252.75" hidden="false" customHeight="true" outlineLevel="0" collapsed="false">
      <c r="A126" s="7" t="s">
        <v>902</v>
      </c>
      <c r="B126" s="7" t="s">
        <v>38</v>
      </c>
      <c r="C126" s="7" t="s">
        <v>51</v>
      </c>
      <c r="D126" s="9" t="s">
        <v>315</v>
      </c>
      <c r="E126" s="7" t="s">
        <v>81</v>
      </c>
      <c r="F126" s="12" t="s">
        <v>23</v>
      </c>
      <c r="G126" s="7" t="s">
        <v>903</v>
      </c>
      <c r="H126" s="7" t="s">
        <v>711</v>
      </c>
      <c r="I126" s="7" t="s">
        <v>904</v>
      </c>
      <c r="J126" s="7" t="s">
        <v>905</v>
      </c>
      <c r="K126" s="7" t="s">
        <v>906</v>
      </c>
      <c r="L126" s="13" t="s">
        <v>904</v>
      </c>
      <c r="M126" s="13"/>
      <c r="N126" s="13" t="s">
        <v>27</v>
      </c>
      <c r="O126" s="13" t="s">
        <v>639</v>
      </c>
      <c r="P126" s="13"/>
      <c r="Q126" s="7" t="s">
        <v>190</v>
      </c>
      <c r="R126" s="7"/>
    </row>
    <row r="127" customFormat="false" ht="90" hidden="false" customHeight="true" outlineLevel="0" collapsed="false">
      <c r="A127" s="7" t="s">
        <v>907</v>
      </c>
      <c r="B127" s="7" t="s">
        <v>38</v>
      </c>
      <c r="C127" s="7" t="s">
        <v>51</v>
      </c>
      <c r="D127" s="9" t="s">
        <v>322</v>
      </c>
      <c r="E127" s="7" t="s">
        <v>62</v>
      </c>
      <c r="F127" s="15" t="s">
        <v>24</v>
      </c>
      <c r="G127" s="7" t="s">
        <v>244</v>
      </c>
      <c r="H127" s="7" t="s">
        <v>908</v>
      </c>
      <c r="I127" s="7" t="s">
        <v>909</v>
      </c>
      <c r="J127" s="7"/>
      <c r="K127" s="7"/>
      <c r="L127" s="13" t="s">
        <v>909</v>
      </c>
      <c r="M127" s="13"/>
      <c r="N127" s="13" t="s">
        <v>27</v>
      </c>
      <c r="O127" s="13"/>
      <c r="P127" s="13" t="s">
        <v>198</v>
      </c>
      <c r="Q127" s="14" t="s">
        <v>240</v>
      </c>
      <c r="R127" s="7" t="s">
        <v>910</v>
      </c>
    </row>
    <row r="128" customFormat="false" ht="241.5" hidden="false" customHeight="true" outlineLevel="0" collapsed="false">
      <c r="A128" s="7" t="s">
        <v>911</v>
      </c>
      <c r="B128" s="7" t="s">
        <v>38</v>
      </c>
      <c r="C128" s="7" t="s">
        <v>51</v>
      </c>
      <c r="D128" s="9" t="s">
        <v>328</v>
      </c>
      <c r="E128" s="7" t="s">
        <v>81</v>
      </c>
      <c r="F128" s="12" t="s">
        <v>23</v>
      </c>
      <c r="G128" s="7" t="s">
        <v>912</v>
      </c>
      <c r="H128" s="7" t="s">
        <v>913</v>
      </c>
      <c r="I128" s="7" t="s">
        <v>515</v>
      </c>
      <c r="J128" s="7" t="s">
        <v>914</v>
      </c>
      <c r="K128" s="7" t="s">
        <v>915</v>
      </c>
      <c r="L128" s="13" t="s">
        <v>913</v>
      </c>
      <c r="M128" s="13"/>
      <c r="N128" s="13" t="s">
        <v>27</v>
      </c>
      <c r="O128" s="13" t="s">
        <v>552</v>
      </c>
      <c r="P128" s="13"/>
      <c r="Q128" s="7" t="s">
        <v>190</v>
      </c>
      <c r="R128" s="7"/>
    </row>
    <row r="129" customFormat="false" ht="90" hidden="false" customHeight="true" outlineLevel="0" collapsed="false">
      <c r="A129" s="7" t="s">
        <v>916</v>
      </c>
      <c r="B129" s="7" t="s">
        <v>38</v>
      </c>
      <c r="C129" s="7" t="s">
        <v>51</v>
      </c>
      <c r="D129" s="9" t="s">
        <v>335</v>
      </c>
      <c r="E129" s="7" t="s">
        <v>62</v>
      </c>
      <c r="F129" s="15" t="s">
        <v>24</v>
      </c>
      <c r="G129" s="7" t="s">
        <v>917</v>
      </c>
      <c r="H129" s="7" t="s">
        <v>918</v>
      </c>
      <c r="I129" s="7" t="s">
        <v>919</v>
      </c>
      <c r="J129" s="7"/>
      <c r="K129" s="7"/>
      <c r="L129" s="13" t="s">
        <v>918</v>
      </c>
      <c r="M129" s="13"/>
      <c r="N129" s="13" t="s">
        <v>27</v>
      </c>
      <c r="O129" s="13"/>
      <c r="P129" s="13" t="s">
        <v>198</v>
      </c>
      <c r="Q129" s="14" t="s">
        <v>240</v>
      </c>
      <c r="R129" s="7" t="s">
        <v>920</v>
      </c>
    </row>
    <row r="130" customFormat="false" ht="165" hidden="false" customHeight="true" outlineLevel="0" collapsed="false">
      <c r="A130" s="7" t="s">
        <v>921</v>
      </c>
      <c r="B130" s="7" t="s">
        <v>38</v>
      </c>
      <c r="C130" s="7" t="s">
        <v>51</v>
      </c>
      <c r="D130" s="9" t="s">
        <v>728</v>
      </c>
      <c r="E130" s="7" t="s">
        <v>81</v>
      </c>
      <c r="F130" s="12" t="s">
        <v>23</v>
      </c>
      <c r="G130" s="7" t="s">
        <v>922</v>
      </c>
      <c r="H130" s="7" t="s">
        <v>923</v>
      </c>
      <c r="I130" s="7" t="s">
        <v>731</v>
      </c>
      <c r="J130" s="7" t="s">
        <v>924</v>
      </c>
      <c r="K130" s="7" t="s">
        <v>925</v>
      </c>
      <c r="L130" s="13" t="s">
        <v>923</v>
      </c>
      <c r="M130" s="13"/>
      <c r="N130" s="13" t="s">
        <v>27</v>
      </c>
      <c r="O130" s="13" t="s">
        <v>552</v>
      </c>
      <c r="P130" s="13"/>
      <c r="Q130" s="7" t="s">
        <v>190</v>
      </c>
      <c r="R130" s="7"/>
    </row>
    <row r="131" customFormat="false" ht="120.75" hidden="false" customHeight="true" outlineLevel="0" collapsed="false">
      <c r="A131" s="7" t="s">
        <v>926</v>
      </c>
      <c r="B131" s="7" t="s">
        <v>38</v>
      </c>
      <c r="C131" s="7" t="s">
        <v>52</v>
      </c>
      <c r="D131" s="9" t="s">
        <v>526</v>
      </c>
      <c r="E131" s="7" t="s">
        <v>59</v>
      </c>
      <c r="F131" s="12" t="s">
        <v>23</v>
      </c>
      <c r="G131" s="7" t="s">
        <v>342</v>
      </c>
      <c r="H131" s="7" t="s">
        <v>343</v>
      </c>
      <c r="I131" s="7" t="s">
        <v>344</v>
      </c>
      <c r="J131" s="7" t="s">
        <v>927</v>
      </c>
      <c r="K131" s="7" t="s">
        <v>928</v>
      </c>
      <c r="L131" s="13" t="s">
        <v>343</v>
      </c>
      <c r="M131" s="13"/>
      <c r="N131" s="13" t="s">
        <v>27</v>
      </c>
      <c r="O131" s="13" t="s">
        <v>552</v>
      </c>
      <c r="P131" s="13"/>
      <c r="Q131" s="7" t="s">
        <v>190</v>
      </c>
      <c r="R131" s="7"/>
    </row>
    <row r="132" customFormat="false" ht="90" hidden="false" customHeight="true" outlineLevel="0" collapsed="false">
      <c r="A132" s="7" t="s">
        <v>929</v>
      </c>
      <c r="B132" s="7" t="s">
        <v>39</v>
      </c>
      <c r="C132" s="7" t="s">
        <v>43</v>
      </c>
      <c r="D132" s="9" t="s">
        <v>752</v>
      </c>
      <c r="E132" s="7" t="s">
        <v>62</v>
      </c>
      <c r="F132" s="15" t="s">
        <v>24</v>
      </c>
      <c r="G132" s="7" t="s">
        <v>930</v>
      </c>
      <c r="H132" s="7" t="s">
        <v>931</v>
      </c>
      <c r="I132" s="7" t="s">
        <v>932</v>
      </c>
      <c r="J132" s="7"/>
      <c r="K132" s="7"/>
      <c r="L132" s="13" t="s">
        <v>931</v>
      </c>
      <c r="M132" s="13"/>
      <c r="N132" s="13" t="s">
        <v>27</v>
      </c>
      <c r="O132" s="13"/>
      <c r="P132" s="13" t="s">
        <v>198</v>
      </c>
      <c r="Q132" s="14" t="s">
        <v>199</v>
      </c>
      <c r="R132" s="7" t="s">
        <v>363</v>
      </c>
    </row>
    <row r="133" customFormat="false" ht="90" hidden="false" customHeight="true" outlineLevel="0" collapsed="false">
      <c r="A133" s="7" t="s">
        <v>933</v>
      </c>
      <c r="B133" s="7" t="s">
        <v>39</v>
      </c>
      <c r="C133" s="7" t="s">
        <v>43</v>
      </c>
      <c r="D133" s="9" t="s">
        <v>934</v>
      </c>
      <c r="E133" s="7" t="s">
        <v>62</v>
      </c>
      <c r="F133" s="15" t="s">
        <v>24</v>
      </c>
      <c r="G133" s="7" t="s">
        <v>779</v>
      </c>
      <c r="H133" s="7" t="s">
        <v>935</v>
      </c>
      <c r="I133" s="7" t="s">
        <v>936</v>
      </c>
      <c r="J133" s="7"/>
      <c r="K133" s="7"/>
      <c r="L133" s="13" t="s">
        <v>936</v>
      </c>
      <c r="M133" s="13"/>
      <c r="N133" s="13" t="s">
        <v>27</v>
      </c>
      <c r="O133" s="13"/>
      <c r="P133" s="13" t="s">
        <v>198</v>
      </c>
      <c r="Q133" s="14" t="s">
        <v>199</v>
      </c>
      <c r="R133" s="7" t="s">
        <v>937</v>
      </c>
    </row>
    <row r="134" customFormat="false" ht="90" hidden="false" customHeight="true" outlineLevel="0" collapsed="false">
      <c r="A134" s="7" t="s">
        <v>938</v>
      </c>
      <c r="B134" s="7" t="s">
        <v>39</v>
      </c>
      <c r="C134" s="7" t="s">
        <v>44</v>
      </c>
      <c r="D134" s="9" t="s">
        <v>192</v>
      </c>
      <c r="E134" s="7" t="s">
        <v>62</v>
      </c>
      <c r="F134" s="15" t="s">
        <v>24</v>
      </c>
      <c r="G134" s="7" t="s">
        <v>939</v>
      </c>
      <c r="H134" s="7" t="s">
        <v>940</v>
      </c>
      <c r="I134" s="7" t="s">
        <v>941</v>
      </c>
      <c r="J134" s="7" t="s">
        <v>942</v>
      </c>
      <c r="K134" s="7" t="s">
        <v>943</v>
      </c>
      <c r="L134" s="13" t="s">
        <v>940</v>
      </c>
      <c r="M134" s="13"/>
      <c r="N134" s="13" t="s">
        <v>27</v>
      </c>
      <c r="O134" s="13"/>
      <c r="P134" s="13" t="s">
        <v>198</v>
      </c>
      <c r="Q134" s="14" t="s">
        <v>199</v>
      </c>
      <c r="R134" s="7" t="s">
        <v>375</v>
      </c>
    </row>
    <row r="135" customFormat="false" ht="90" hidden="false" customHeight="true" outlineLevel="0" collapsed="false">
      <c r="A135" s="7" t="s">
        <v>944</v>
      </c>
      <c r="B135" s="7" t="s">
        <v>39</v>
      </c>
      <c r="C135" s="7" t="s">
        <v>44</v>
      </c>
      <c r="D135" s="9" t="s">
        <v>202</v>
      </c>
      <c r="E135" s="7" t="s">
        <v>62</v>
      </c>
      <c r="F135" s="15" t="s">
        <v>24</v>
      </c>
      <c r="G135" s="7" t="s">
        <v>939</v>
      </c>
      <c r="H135" s="7" t="s">
        <v>945</v>
      </c>
      <c r="I135" s="7" t="s">
        <v>946</v>
      </c>
      <c r="J135" s="7" t="s">
        <v>947</v>
      </c>
      <c r="K135" s="7" t="s">
        <v>948</v>
      </c>
      <c r="L135" s="13" t="s">
        <v>945</v>
      </c>
      <c r="M135" s="13"/>
      <c r="N135" s="13" t="s">
        <v>27</v>
      </c>
      <c r="O135" s="13"/>
      <c r="P135" s="13" t="s">
        <v>198</v>
      </c>
      <c r="Q135" s="14" t="s">
        <v>199</v>
      </c>
      <c r="R135" s="7" t="s">
        <v>208</v>
      </c>
    </row>
    <row r="136" customFormat="false" ht="408.75" hidden="false" customHeight="true" outlineLevel="0" collapsed="false">
      <c r="A136" s="7" t="s">
        <v>949</v>
      </c>
      <c r="B136" s="7" t="s">
        <v>39</v>
      </c>
      <c r="C136" s="7" t="s">
        <v>45</v>
      </c>
      <c r="D136" s="9" t="s">
        <v>398</v>
      </c>
      <c r="E136" s="7" t="s">
        <v>81</v>
      </c>
      <c r="F136" s="12" t="s">
        <v>23</v>
      </c>
      <c r="G136" s="7" t="s">
        <v>950</v>
      </c>
      <c r="H136" s="7" t="s">
        <v>951</v>
      </c>
      <c r="I136" s="7" t="s">
        <v>952</v>
      </c>
      <c r="J136" s="7" t="s">
        <v>953</v>
      </c>
      <c r="K136" s="7" t="s">
        <v>954</v>
      </c>
      <c r="L136" s="13" t="s">
        <v>951</v>
      </c>
      <c r="M136" s="13"/>
      <c r="N136" s="13" t="s">
        <v>27</v>
      </c>
      <c r="O136" s="13" t="s">
        <v>552</v>
      </c>
      <c r="P136" s="13"/>
      <c r="Q136" s="7" t="s">
        <v>190</v>
      </c>
      <c r="R136" s="7"/>
    </row>
    <row r="137" customFormat="false" ht="90" hidden="false" customHeight="true" outlineLevel="0" collapsed="false">
      <c r="A137" s="7" t="s">
        <v>955</v>
      </c>
      <c r="B137" s="7" t="s">
        <v>39</v>
      </c>
      <c r="C137" s="7" t="s">
        <v>45</v>
      </c>
      <c r="D137" s="9" t="s">
        <v>405</v>
      </c>
      <c r="E137" s="7" t="s">
        <v>62</v>
      </c>
      <c r="F137" s="15" t="s">
        <v>24</v>
      </c>
      <c r="G137" s="7" t="s">
        <v>406</v>
      </c>
      <c r="H137" s="7" t="s">
        <v>956</v>
      </c>
      <c r="I137" s="7"/>
      <c r="J137" s="7"/>
      <c r="K137" s="7"/>
      <c r="L137" s="13" t="s">
        <v>956</v>
      </c>
      <c r="M137" s="13"/>
      <c r="N137" s="13" t="s">
        <v>27</v>
      </c>
      <c r="O137" s="13"/>
      <c r="P137" s="13" t="s">
        <v>198</v>
      </c>
      <c r="Q137" s="14" t="s">
        <v>240</v>
      </c>
      <c r="R137" s="7" t="s">
        <v>957</v>
      </c>
    </row>
    <row r="138" customFormat="false" ht="175.5" hidden="false" customHeight="true" outlineLevel="0" collapsed="false">
      <c r="A138" s="7" t="s">
        <v>958</v>
      </c>
      <c r="B138" s="7" t="s">
        <v>39</v>
      </c>
      <c r="C138" s="7" t="s">
        <v>45</v>
      </c>
      <c r="D138" s="9" t="s">
        <v>959</v>
      </c>
      <c r="E138" s="7" t="s">
        <v>81</v>
      </c>
      <c r="F138" s="12" t="s">
        <v>23</v>
      </c>
      <c r="G138" s="7" t="s">
        <v>960</v>
      </c>
      <c r="H138" s="7" t="s">
        <v>961</v>
      </c>
      <c r="I138" s="7" t="s">
        <v>962</v>
      </c>
      <c r="J138" s="7" t="s">
        <v>963</v>
      </c>
      <c r="K138" s="7" t="s">
        <v>964</v>
      </c>
      <c r="L138" s="13" t="s">
        <v>961</v>
      </c>
      <c r="M138" s="13"/>
      <c r="N138" s="13" t="s">
        <v>27</v>
      </c>
      <c r="O138" s="13" t="s">
        <v>552</v>
      </c>
      <c r="P138" s="13"/>
      <c r="Q138" s="7" t="s">
        <v>190</v>
      </c>
      <c r="R138" s="7"/>
    </row>
    <row r="139" customFormat="false" ht="132" hidden="false" customHeight="true" outlineLevel="0" collapsed="false">
      <c r="A139" s="7" t="s">
        <v>965</v>
      </c>
      <c r="B139" s="7" t="s">
        <v>39</v>
      </c>
      <c r="C139" s="7" t="s">
        <v>45</v>
      </c>
      <c r="D139" s="9" t="s">
        <v>966</v>
      </c>
      <c r="E139" s="7" t="s">
        <v>59</v>
      </c>
      <c r="F139" s="12" t="s">
        <v>23</v>
      </c>
      <c r="G139" s="7" t="s">
        <v>967</v>
      </c>
      <c r="H139" s="7" t="s">
        <v>596</v>
      </c>
      <c r="I139" s="7" t="s">
        <v>799</v>
      </c>
      <c r="J139" s="7" t="s">
        <v>968</v>
      </c>
      <c r="K139" s="7" t="s">
        <v>969</v>
      </c>
      <c r="L139" s="13" t="s">
        <v>596</v>
      </c>
      <c r="M139" s="13"/>
      <c r="N139" s="13" t="s">
        <v>27</v>
      </c>
      <c r="O139" s="13" t="s">
        <v>552</v>
      </c>
      <c r="P139" s="13"/>
      <c r="Q139" s="7" t="s">
        <v>190</v>
      </c>
      <c r="R139" s="7"/>
    </row>
    <row r="140" customFormat="false" ht="90" hidden="false" customHeight="true" outlineLevel="0" collapsed="false">
      <c r="A140" s="7" t="s">
        <v>970</v>
      </c>
      <c r="B140" s="7" t="s">
        <v>39</v>
      </c>
      <c r="C140" s="7" t="s">
        <v>45</v>
      </c>
      <c r="D140" s="9" t="s">
        <v>971</v>
      </c>
      <c r="E140" s="7" t="s">
        <v>62</v>
      </c>
      <c r="F140" s="15" t="s">
        <v>24</v>
      </c>
      <c r="G140" s="7" t="s">
        <v>757</v>
      </c>
      <c r="H140" s="7" t="s">
        <v>972</v>
      </c>
      <c r="I140" s="7" t="s">
        <v>264</v>
      </c>
      <c r="J140" s="7"/>
      <c r="K140" s="7"/>
      <c r="L140" s="13" t="s">
        <v>972</v>
      </c>
      <c r="M140" s="13"/>
      <c r="N140" s="13" t="s">
        <v>27</v>
      </c>
      <c r="O140" s="13"/>
      <c r="P140" s="13" t="s">
        <v>198</v>
      </c>
      <c r="Q140" s="14" t="s">
        <v>240</v>
      </c>
      <c r="R140" s="7" t="s">
        <v>973</v>
      </c>
    </row>
    <row r="141" customFormat="false" ht="186.75" hidden="false" customHeight="true" outlineLevel="0" collapsed="false">
      <c r="A141" s="7" t="s">
        <v>974</v>
      </c>
      <c r="B141" s="7" t="s">
        <v>39</v>
      </c>
      <c r="C141" s="7" t="s">
        <v>45</v>
      </c>
      <c r="D141" s="9" t="s">
        <v>224</v>
      </c>
      <c r="E141" s="7" t="s">
        <v>59</v>
      </c>
      <c r="F141" s="12" t="s">
        <v>23</v>
      </c>
      <c r="G141" s="7" t="s">
        <v>975</v>
      </c>
      <c r="H141" s="7"/>
      <c r="I141" s="7" t="s">
        <v>976</v>
      </c>
      <c r="J141" s="7" t="s">
        <v>977</v>
      </c>
      <c r="K141" s="7" t="s">
        <v>978</v>
      </c>
      <c r="L141" s="13"/>
      <c r="M141" s="13"/>
      <c r="N141" s="13" t="s">
        <v>27</v>
      </c>
      <c r="O141" s="13" t="s">
        <v>552</v>
      </c>
      <c r="P141" s="13"/>
      <c r="Q141" s="7" t="s">
        <v>190</v>
      </c>
      <c r="R141" s="7"/>
    </row>
    <row r="142" customFormat="false" ht="90" hidden="false" customHeight="true" outlineLevel="0" collapsed="false">
      <c r="A142" s="7" t="s">
        <v>979</v>
      </c>
      <c r="B142" s="7" t="s">
        <v>39</v>
      </c>
      <c r="C142" s="7" t="s">
        <v>46</v>
      </c>
      <c r="D142" s="9" t="s">
        <v>243</v>
      </c>
      <c r="E142" s="7" t="s">
        <v>62</v>
      </c>
      <c r="F142" s="15" t="s">
        <v>24</v>
      </c>
      <c r="G142" s="7" t="s">
        <v>890</v>
      </c>
      <c r="H142" s="7" t="s">
        <v>980</v>
      </c>
      <c r="I142" s="7" t="s">
        <v>981</v>
      </c>
      <c r="J142" s="7"/>
      <c r="K142" s="7"/>
      <c r="L142" s="13" t="s">
        <v>982</v>
      </c>
      <c r="M142" s="13"/>
      <c r="N142" s="13" t="s">
        <v>27</v>
      </c>
      <c r="O142" s="13"/>
      <c r="P142" s="13" t="s">
        <v>198</v>
      </c>
      <c r="Q142" s="14" t="s">
        <v>199</v>
      </c>
      <c r="R142" s="7" t="s">
        <v>248</v>
      </c>
    </row>
    <row r="143" customFormat="false" ht="109.5" hidden="false" customHeight="true" outlineLevel="0" collapsed="false">
      <c r="A143" s="7" t="s">
        <v>983</v>
      </c>
      <c r="B143" s="7" t="s">
        <v>39</v>
      </c>
      <c r="C143" s="7" t="s">
        <v>46</v>
      </c>
      <c r="D143" s="9" t="s">
        <v>575</v>
      </c>
      <c r="E143" s="7" t="s">
        <v>81</v>
      </c>
      <c r="F143" s="12" t="s">
        <v>23</v>
      </c>
      <c r="G143" s="7" t="s">
        <v>984</v>
      </c>
      <c r="H143" s="7" t="s">
        <v>985</v>
      </c>
      <c r="I143" s="7" t="s">
        <v>986</v>
      </c>
      <c r="J143" s="7" t="s">
        <v>987</v>
      </c>
      <c r="K143" s="7" t="s">
        <v>988</v>
      </c>
      <c r="L143" s="13" t="s">
        <v>986</v>
      </c>
      <c r="M143" s="13"/>
      <c r="N143" s="13" t="s">
        <v>27</v>
      </c>
      <c r="O143" s="13" t="s">
        <v>989</v>
      </c>
      <c r="P143" s="13"/>
      <c r="Q143" s="7" t="s">
        <v>190</v>
      </c>
      <c r="R143" s="7"/>
    </row>
    <row r="144" customFormat="false" ht="90" hidden="false" customHeight="true" outlineLevel="0" collapsed="false">
      <c r="A144" s="7" t="s">
        <v>990</v>
      </c>
      <c r="B144" s="7" t="s">
        <v>39</v>
      </c>
      <c r="C144" s="7" t="s">
        <v>46</v>
      </c>
      <c r="D144" s="9" t="s">
        <v>250</v>
      </c>
      <c r="E144" s="7" t="s">
        <v>62</v>
      </c>
      <c r="F144" s="15" t="s">
        <v>24</v>
      </c>
      <c r="G144" s="7" t="s">
        <v>991</v>
      </c>
      <c r="H144" s="7" t="s">
        <v>992</v>
      </c>
      <c r="I144" s="7" t="s">
        <v>993</v>
      </c>
      <c r="J144" s="7"/>
      <c r="K144" s="7"/>
      <c r="L144" s="13" t="s">
        <v>992</v>
      </c>
      <c r="M144" s="13"/>
      <c r="N144" s="13" t="s">
        <v>27</v>
      </c>
      <c r="O144" s="13"/>
      <c r="P144" s="13" t="s">
        <v>198</v>
      </c>
      <c r="Q144" s="14" t="s">
        <v>199</v>
      </c>
      <c r="R144" s="7" t="s">
        <v>248</v>
      </c>
    </row>
    <row r="145" customFormat="false" ht="241.5" hidden="false" customHeight="true" outlineLevel="0" collapsed="false">
      <c r="A145" s="7" t="s">
        <v>994</v>
      </c>
      <c r="B145" s="7" t="s">
        <v>39</v>
      </c>
      <c r="C145" s="7" t="s">
        <v>46</v>
      </c>
      <c r="D145" s="9" t="s">
        <v>995</v>
      </c>
      <c r="E145" s="7" t="s">
        <v>59</v>
      </c>
      <c r="F145" s="12" t="s">
        <v>23</v>
      </c>
      <c r="G145" s="7" t="s">
        <v>996</v>
      </c>
      <c r="H145" s="7" t="s">
        <v>563</v>
      </c>
      <c r="I145" s="7" t="s">
        <v>997</v>
      </c>
      <c r="J145" s="7" t="s">
        <v>998</v>
      </c>
      <c r="K145" s="7" t="s">
        <v>999</v>
      </c>
      <c r="L145" s="13" t="s">
        <v>563</v>
      </c>
      <c r="M145" s="13"/>
      <c r="N145" s="13" t="s">
        <v>27</v>
      </c>
      <c r="O145" s="13" t="s">
        <v>552</v>
      </c>
      <c r="P145" s="13"/>
      <c r="Q145" s="7" t="s">
        <v>190</v>
      </c>
      <c r="R145" s="7"/>
    </row>
    <row r="146" customFormat="false" ht="90" hidden="false" customHeight="true" outlineLevel="0" collapsed="false">
      <c r="A146" s="7" t="s">
        <v>1000</v>
      </c>
      <c r="B146" s="7" t="s">
        <v>39</v>
      </c>
      <c r="C146" s="7" t="s">
        <v>46</v>
      </c>
      <c r="D146" s="9" t="s">
        <v>1001</v>
      </c>
      <c r="E146" s="7" t="s">
        <v>62</v>
      </c>
      <c r="F146" s="15" t="s">
        <v>24</v>
      </c>
      <c r="G146" s="7" t="s">
        <v>770</v>
      </c>
      <c r="H146" s="7" t="s">
        <v>1002</v>
      </c>
      <c r="I146" s="7" t="s">
        <v>1003</v>
      </c>
      <c r="J146" s="7"/>
      <c r="K146" s="7"/>
      <c r="L146" s="13" t="s">
        <v>1002</v>
      </c>
      <c r="M146" s="13"/>
      <c r="N146" s="13" t="s">
        <v>27</v>
      </c>
      <c r="O146" s="13"/>
      <c r="P146" s="13" t="s">
        <v>198</v>
      </c>
      <c r="Q146" s="14" t="s">
        <v>240</v>
      </c>
      <c r="R146" s="7" t="s">
        <v>1004</v>
      </c>
    </row>
    <row r="147" customFormat="false" ht="90" hidden="false" customHeight="true" outlineLevel="0" collapsed="false">
      <c r="A147" s="7" t="s">
        <v>1005</v>
      </c>
      <c r="B147" s="7" t="s">
        <v>39</v>
      </c>
      <c r="C147" s="7" t="s">
        <v>46</v>
      </c>
      <c r="D147" s="9" t="s">
        <v>1006</v>
      </c>
      <c r="E147" s="7" t="s">
        <v>62</v>
      </c>
      <c r="F147" s="15" t="s">
        <v>24</v>
      </c>
      <c r="G147" s="7" t="s">
        <v>406</v>
      </c>
      <c r="H147" s="7" t="s">
        <v>1007</v>
      </c>
      <c r="I147" s="7"/>
      <c r="J147" s="7"/>
      <c r="K147" s="7"/>
      <c r="L147" s="13" t="s">
        <v>1007</v>
      </c>
      <c r="M147" s="13"/>
      <c r="N147" s="13" t="s">
        <v>27</v>
      </c>
      <c r="O147" s="13"/>
      <c r="P147" s="13" t="s">
        <v>198</v>
      </c>
      <c r="Q147" s="14" t="s">
        <v>240</v>
      </c>
      <c r="R147" s="7" t="s">
        <v>1008</v>
      </c>
    </row>
    <row r="148" customFormat="false" ht="285.75" hidden="false" customHeight="true" outlineLevel="0" collapsed="false">
      <c r="A148" s="7" t="s">
        <v>1009</v>
      </c>
      <c r="B148" s="7" t="s">
        <v>39</v>
      </c>
      <c r="C148" s="7" t="s">
        <v>46</v>
      </c>
      <c r="D148" s="9" t="s">
        <v>819</v>
      </c>
      <c r="E148" s="7" t="s">
        <v>81</v>
      </c>
      <c r="F148" s="12" t="s">
        <v>23</v>
      </c>
      <c r="G148" s="7" t="s">
        <v>1010</v>
      </c>
      <c r="H148" s="7" t="s">
        <v>1011</v>
      </c>
      <c r="I148" s="7" t="s">
        <v>1012</v>
      </c>
      <c r="J148" s="7" t="s">
        <v>1013</v>
      </c>
      <c r="K148" s="7" t="s">
        <v>1014</v>
      </c>
      <c r="L148" s="13" t="s">
        <v>1015</v>
      </c>
      <c r="M148" s="13"/>
      <c r="N148" s="13" t="s">
        <v>27</v>
      </c>
      <c r="O148" s="13" t="s">
        <v>1016</v>
      </c>
      <c r="P148" s="13"/>
      <c r="Q148" s="13" t="s">
        <v>458</v>
      </c>
      <c r="R148" s="7" t="s">
        <v>1017</v>
      </c>
    </row>
    <row r="149" customFormat="false" ht="165" hidden="false" customHeight="true" outlineLevel="0" collapsed="false">
      <c r="A149" s="7" t="s">
        <v>1018</v>
      </c>
      <c r="B149" s="7" t="s">
        <v>39</v>
      </c>
      <c r="C149" s="7" t="s">
        <v>47</v>
      </c>
      <c r="D149" s="9" t="s">
        <v>641</v>
      </c>
      <c r="E149" s="7" t="s">
        <v>59</v>
      </c>
      <c r="F149" s="12" t="s">
        <v>23</v>
      </c>
      <c r="G149" s="7" t="s">
        <v>1019</v>
      </c>
      <c r="H149" s="7" t="s">
        <v>1020</v>
      </c>
      <c r="I149" s="7" t="s">
        <v>829</v>
      </c>
      <c r="J149" s="7" t="s">
        <v>1021</v>
      </c>
      <c r="K149" s="7" t="s">
        <v>1022</v>
      </c>
      <c r="L149" s="13" t="s">
        <v>1020</v>
      </c>
      <c r="M149" s="13"/>
      <c r="N149" s="13" t="s">
        <v>27</v>
      </c>
      <c r="O149" s="13" t="s">
        <v>552</v>
      </c>
      <c r="P149" s="13"/>
      <c r="Q149" s="7" t="s">
        <v>190</v>
      </c>
      <c r="R149" s="7"/>
    </row>
    <row r="150" customFormat="false" ht="241.5" hidden="false" customHeight="true" outlineLevel="0" collapsed="false">
      <c r="A150" s="7" t="s">
        <v>1023</v>
      </c>
      <c r="B150" s="7" t="s">
        <v>39</v>
      </c>
      <c r="C150" s="7" t="s">
        <v>47</v>
      </c>
      <c r="D150" s="9" t="s">
        <v>657</v>
      </c>
      <c r="E150" s="7" t="s">
        <v>81</v>
      </c>
      <c r="F150" s="12" t="s">
        <v>23</v>
      </c>
      <c r="G150" s="7" t="s">
        <v>1024</v>
      </c>
      <c r="H150" s="7" t="s">
        <v>1025</v>
      </c>
      <c r="I150" s="7" t="s">
        <v>1026</v>
      </c>
      <c r="J150" s="7" t="s">
        <v>1027</v>
      </c>
      <c r="K150" s="7" t="s">
        <v>1028</v>
      </c>
      <c r="L150" s="13" t="s">
        <v>1025</v>
      </c>
      <c r="M150" s="13"/>
      <c r="N150" s="13" t="s">
        <v>27</v>
      </c>
      <c r="O150" s="13" t="s">
        <v>552</v>
      </c>
      <c r="P150" s="13"/>
      <c r="Q150" s="7" t="s">
        <v>190</v>
      </c>
      <c r="R150" s="7"/>
    </row>
    <row r="151" customFormat="false" ht="90" hidden="false" customHeight="true" outlineLevel="0" collapsed="false">
      <c r="A151" s="7" t="s">
        <v>1029</v>
      </c>
      <c r="B151" s="7" t="s">
        <v>39</v>
      </c>
      <c r="C151" s="7" t="s">
        <v>47</v>
      </c>
      <c r="D151" s="9" t="s">
        <v>665</v>
      </c>
      <c r="E151" s="7" t="s">
        <v>62</v>
      </c>
      <c r="F151" s="15" t="s">
        <v>24</v>
      </c>
      <c r="G151" s="7" t="s">
        <v>237</v>
      </c>
      <c r="H151" s="7" t="s">
        <v>1030</v>
      </c>
      <c r="I151" s="7" t="s">
        <v>1031</v>
      </c>
      <c r="J151" s="7"/>
      <c r="K151" s="7"/>
      <c r="L151" s="13" t="s">
        <v>1032</v>
      </c>
      <c r="M151" s="13"/>
      <c r="N151" s="13" t="s">
        <v>27</v>
      </c>
      <c r="O151" s="13"/>
      <c r="P151" s="13" t="s">
        <v>198</v>
      </c>
      <c r="Q151" s="14" t="s">
        <v>240</v>
      </c>
      <c r="R151" s="7" t="s">
        <v>1033</v>
      </c>
    </row>
    <row r="152" customFormat="false" ht="90" hidden="false" customHeight="true" outlineLevel="0" collapsed="false">
      <c r="A152" s="7" t="s">
        <v>1034</v>
      </c>
      <c r="B152" s="7" t="s">
        <v>39</v>
      </c>
      <c r="C152" s="7" t="s">
        <v>48</v>
      </c>
      <c r="D152" s="9" t="s">
        <v>262</v>
      </c>
      <c r="E152" s="7" t="s">
        <v>62</v>
      </c>
      <c r="F152" s="15" t="s">
        <v>24</v>
      </c>
      <c r="G152" s="7" t="s">
        <v>237</v>
      </c>
      <c r="H152" s="7" t="s">
        <v>1035</v>
      </c>
      <c r="I152" s="7" t="s">
        <v>264</v>
      </c>
      <c r="J152" s="7" t="s">
        <v>1036</v>
      </c>
      <c r="K152" s="7" t="s">
        <v>1037</v>
      </c>
      <c r="L152" s="13" t="s">
        <v>1035</v>
      </c>
      <c r="M152" s="13"/>
      <c r="N152" s="13" t="s">
        <v>27</v>
      </c>
      <c r="O152" s="13"/>
      <c r="P152" s="13" t="s">
        <v>198</v>
      </c>
      <c r="Q152" s="14" t="s">
        <v>240</v>
      </c>
      <c r="R152" s="7" t="s">
        <v>267</v>
      </c>
    </row>
    <row r="153" customFormat="false" ht="90" hidden="false" customHeight="true" outlineLevel="0" collapsed="false">
      <c r="A153" s="7" t="s">
        <v>1038</v>
      </c>
      <c r="B153" s="7" t="s">
        <v>39</v>
      </c>
      <c r="C153" s="7" t="s">
        <v>49</v>
      </c>
      <c r="D153" s="9" t="s">
        <v>269</v>
      </c>
      <c r="E153" s="7" t="s">
        <v>59</v>
      </c>
      <c r="F153" s="12" t="s">
        <v>23</v>
      </c>
      <c r="G153" s="7" t="s">
        <v>1039</v>
      </c>
      <c r="H153" s="7" t="s">
        <v>1040</v>
      </c>
      <c r="I153" s="7" t="s">
        <v>1041</v>
      </c>
      <c r="J153" s="7" t="s">
        <v>1042</v>
      </c>
      <c r="K153" s="7" t="s">
        <v>1043</v>
      </c>
      <c r="L153" s="13" t="n">
        <v>4</v>
      </c>
      <c r="M153" s="13"/>
      <c r="N153" s="13" t="s">
        <v>27</v>
      </c>
      <c r="O153" s="13" t="s">
        <v>552</v>
      </c>
      <c r="P153" s="13"/>
      <c r="Q153" s="7" t="s">
        <v>190</v>
      </c>
      <c r="R153" s="7"/>
    </row>
    <row r="154" customFormat="false" ht="90" hidden="false" customHeight="true" outlineLevel="0" collapsed="false">
      <c r="A154" s="7" t="s">
        <v>1044</v>
      </c>
      <c r="B154" s="7" t="s">
        <v>39</v>
      </c>
      <c r="C154" s="7" t="s">
        <v>48</v>
      </c>
      <c r="D154" s="9" t="s">
        <v>1045</v>
      </c>
      <c r="E154" s="7" t="s">
        <v>74</v>
      </c>
      <c r="F154" s="12" t="s">
        <v>23</v>
      </c>
      <c r="G154" s="7" t="s">
        <v>631</v>
      </c>
      <c r="H154" s="7" t="s">
        <v>232</v>
      </c>
      <c r="I154" s="7" t="s">
        <v>231</v>
      </c>
      <c r="J154" s="7" t="s">
        <v>1046</v>
      </c>
      <c r="K154" s="7" t="s">
        <v>1047</v>
      </c>
      <c r="L154" s="13" t="s">
        <v>1048</v>
      </c>
      <c r="M154" s="13"/>
      <c r="N154" s="13" t="s">
        <v>27</v>
      </c>
      <c r="O154" s="13" t="s">
        <v>1049</v>
      </c>
      <c r="P154" s="13" t="s">
        <v>292</v>
      </c>
      <c r="Q154" s="16" t="s">
        <v>293</v>
      </c>
      <c r="R154" s="7" t="s">
        <v>1050</v>
      </c>
    </row>
    <row r="155" customFormat="false" ht="90" hidden="false" customHeight="true" outlineLevel="0" collapsed="false">
      <c r="A155" s="7" t="s">
        <v>1051</v>
      </c>
      <c r="B155" s="7" t="s">
        <v>39</v>
      </c>
      <c r="C155" s="7" t="s">
        <v>48</v>
      </c>
      <c r="D155" s="9" t="s">
        <v>296</v>
      </c>
      <c r="E155" s="7" t="s">
        <v>62</v>
      </c>
      <c r="F155" s="15" t="s">
        <v>24</v>
      </c>
      <c r="G155" s="7" t="s">
        <v>890</v>
      </c>
      <c r="H155" s="7" t="s">
        <v>1052</v>
      </c>
      <c r="I155" s="7" t="s">
        <v>1053</v>
      </c>
      <c r="J155" s="7" t="s">
        <v>1054</v>
      </c>
      <c r="K155" s="7" t="s">
        <v>1055</v>
      </c>
      <c r="L155" s="13" t="s">
        <v>1056</v>
      </c>
      <c r="M155" s="13"/>
      <c r="N155" s="13" t="s">
        <v>27</v>
      </c>
      <c r="O155" s="13"/>
      <c r="P155" s="13" t="s">
        <v>198</v>
      </c>
      <c r="Q155" s="14" t="s">
        <v>199</v>
      </c>
      <c r="R155" s="7" t="s">
        <v>303</v>
      </c>
    </row>
    <row r="156" customFormat="false" ht="90" hidden="false" customHeight="true" outlineLevel="0" collapsed="false">
      <c r="A156" s="7" t="s">
        <v>1057</v>
      </c>
      <c r="B156" s="7" t="s">
        <v>39</v>
      </c>
      <c r="C156" s="7" t="s">
        <v>48</v>
      </c>
      <c r="D156" s="9" t="s">
        <v>305</v>
      </c>
      <c r="E156" s="7" t="s">
        <v>62</v>
      </c>
      <c r="F156" s="15" t="s">
        <v>24</v>
      </c>
      <c r="G156" s="7" t="s">
        <v>686</v>
      </c>
      <c r="H156" s="7" t="s">
        <v>1058</v>
      </c>
      <c r="I156" s="7" t="s">
        <v>1059</v>
      </c>
      <c r="J156" s="7"/>
      <c r="K156" s="7"/>
      <c r="L156" s="13" t="s">
        <v>1058</v>
      </c>
      <c r="M156" s="13"/>
      <c r="N156" s="13" t="s">
        <v>27</v>
      </c>
      <c r="O156" s="13"/>
      <c r="P156" s="13" t="s">
        <v>198</v>
      </c>
      <c r="Q156" s="14" t="s">
        <v>199</v>
      </c>
      <c r="R156" s="7" t="s">
        <v>248</v>
      </c>
    </row>
    <row r="157" customFormat="false" ht="241.5" hidden="false" customHeight="true" outlineLevel="0" collapsed="false">
      <c r="A157" s="7" t="s">
        <v>1060</v>
      </c>
      <c r="B157" s="7" t="s">
        <v>39</v>
      </c>
      <c r="C157" s="7" t="s">
        <v>51</v>
      </c>
      <c r="D157" s="9" t="s">
        <v>490</v>
      </c>
      <c r="E157" s="7" t="s">
        <v>81</v>
      </c>
      <c r="F157" s="12" t="s">
        <v>23</v>
      </c>
      <c r="G157" s="7" t="s">
        <v>697</v>
      </c>
      <c r="H157" s="7" t="s">
        <v>1061</v>
      </c>
      <c r="I157" s="7" t="s">
        <v>1062</v>
      </c>
      <c r="J157" s="7" t="s">
        <v>1063</v>
      </c>
      <c r="K157" s="7" t="s">
        <v>1064</v>
      </c>
      <c r="L157" s="13" t="s">
        <v>1061</v>
      </c>
      <c r="M157" s="13"/>
      <c r="N157" s="13" t="s">
        <v>27</v>
      </c>
      <c r="O157" s="13" t="s">
        <v>552</v>
      </c>
      <c r="P157" s="13"/>
      <c r="Q157" s="7" t="s">
        <v>190</v>
      </c>
      <c r="R157" s="7"/>
    </row>
    <row r="158" customFormat="false" ht="90" hidden="false" customHeight="true" outlineLevel="0" collapsed="false">
      <c r="A158" s="7" t="s">
        <v>1065</v>
      </c>
      <c r="B158" s="7" t="s">
        <v>39</v>
      </c>
      <c r="C158" s="7" t="s">
        <v>51</v>
      </c>
      <c r="D158" s="9" t="s">
        <v>309</v>
      </c>
      <c r="E158" s="7" t="s">
        <v>62</v>
      </c>
      <c r="F158" s="15" t="s">
        <v>24</v>
      </c>
      <c r="G158" s="7" t="s">
        <v>693</v>
      </c>
      <c r="H158" s="7" t="s">
        <v>1066</v>
      </c>
      <c r="I158" s="7" t="s">
        <v>1067</v>
      </c>
      <c r="J158" s="7"/>
      <c r="K158" s="7"/>
      <c r="L158" s="13" t="s">
        <v>1066</v>
      </c>
      <c r="M158" s="13"/>
      <c r="N158" s="13" t="s">
        <v>27</v>
      </c>
      <c r="O158" s="13"/>
      <c r="P158" s="13" t="s">
        <v>198</v>
      </c>
      <c r="Q158" s="14" t="s">
        <v>240</v>
      </c>
      <c r="R158" s="7" t="s">
        <v>1068</v>
      </c>
    </row>
    <row r="159" customFormat="false" ht="252.75" hidden="false" customHeight="true" outlineLevel="0" collapsed="false">
      <c r="A159" s="7" t="s">
        <v>1069</v>
      </c>
      <c r="B159" s="7" t="s">
        <v>39</v>
      </c>
      <c r="C159" s="7" t="s">
        <v>51</v>
      </c>
      <c r="D159" s="9" t="s">
        <v>315</v>
      </c>
      <c r="E159" s="7" t="s">
        <v>81</v>
      </c>
      <c r="F159" s="12" t="s">
        <v>23</v>
      </c>
      <c r="G159" s="7" t="s">
        <v>1070</v>
      </c>
      <c r="H159" s="7" t="s">
        <v>1071</v>
      </c>
      <c r="I159" s="7" t="s">
        <v>1072</v>
      </c>
      <c r="J159" s="7" t="s">
        <v>1073</v>
      </c>
      <c r="K159" s="7" t="s">
        <v>1074</v>
      </c>
      <c r="L159" s="13" t="s">
        <v>1071</v>
      </c>
      <c r="M159" s="13"/>
      <c r="N159" s="13" t="s">
        <v>27</v>
      </c>
      <c r="O159" s="13" t="s">
        <v>552</v>
      </c>
      <c r="P159" s="13"/>
      <c r="Q159" s="7" t="s">
        <v>190</v>
      </c>
      <c r="R159" s="7"/>
    </row>
    <row r="160" customFormat="false" ht="90" hidden="false" customHeight="true" outlineLevel="0" collapsed="false">
      <c r="A160" s="7" t="s">
        <v>1075</v>
      </c>
      <c r="B160" s="7" t="s">
        <v>39</v>
      </c>
      <c r="C160" s="7" t="s">
        <v>51</v>
      </c>
      <c r="D160" s="9" t="s">
        <v>322</v>
      </c>
      <c r="E160" s="7" t="s">
        <v>62</v>
      </c>
      <c r="F160" s="15" t="s">
        <v>24</v>
      </c>
      <c r="G160" s="7" t="s">
        <v>1076</v>
      </c>
      <c r="H160" s="7" t="s">
        <v>1077</v>
      </c>
      <c r="I160" s="7" t="s">
        <v>1078</v>
      </c>
      <c r="J160" s="7"/>
      <c r="K160" s="7"/>
      <c r="L160" s="13" t="s">
        <v>1077</v>
      </c>
      <c r="M160" s="13"/>
      <c r="N160" s="13" t="s">
        <v>27</v>
      </c>
      <c r="O160" s="13"/>
      <c r="P160" s="13" t="s">
        <v>198</v>
      </c>
      <c r="Q160" s="14" t="s">
        <v>240</v>
      </c>
      <c r="R160" s="7" t="s">
        <v>1079</v>
      </c>
    </row>
    <row r="161" customFormat="false" ht="241.5" hidden="false" customHeight="true" outlineLevel="0" collapsed="false">
      <c r="A161" s="7" t="s">
        <v>1080</v>
      </c>
      <c r="B161" s="7" t="s">
        <v>39</v>
      </c>
      <c r="C161" s="7" t="s">
        <v>51</v>
      </c>
      <c r="D161" s="9" t="s">
        <v>328</v>
      </c>
      <c r="E161" s="7" t="s">
        <v>81</v>
      </c>
      <c r="F161" s="12" t="s">
        <v>23</v>
      </c>
      <c r="G161" s="7" t="s">
        <v>1081</v>
      </c>
      <c r="H161" s="7" t="s">
        <v>1082</v>
      </c>
      <c r="I161" s="7" t="s">
        <v>720</v>
      </c>
      <c r="J161" s="7" t="s">
        <v>1083</v>
      </c>
      <c r="K161" s="7" t="s">
        <v>1084</v>
      </c>
      <c r="L161" s="13" t="s">
        <v>1082</v>
      </c>
      <c r="M161" s="13"/>
      <c r="N161" s="13" t="s">
        <v>27</v>
      </c>
      <c r="O161" s="13" t="s">
        <v>552</v>
      </c>
      <c r="P161" s="13"/>
      <c r="Q161" s="7" t="s">
        <v>190</v>
      </c>
      <c r="R161" s="7"/>
    </row>
    <row r="162" customFormat="false" ht="90" hidden="false" customHeight="true" outlineLevel="0" collapsed="false">
      <c r="A162" s="7" t="s">
        <v>1085</v>
      </c>
      <c r="B162" s="7" t="s">
        <v>39</v>
      </c>
      <c r="C162" s="7" t="s">
        <v>51</v>
      </c>
      <c r="D162" s="9" t="s">
        <v>335</v>
      </c>
      <c r="E162" s="7" t="s">
        <v>62</v>
      </c>
      <c r="F162" s="15" t="s">
        <v>24</v>
      </c>
      <c r="G162" s="7" t="s">
        <v>705</v>
      </c>
      <c r="H162" s="7" t="s">
        <v>1086</v>
      </c>
      <c r="I162" s="7" t="s">
        <v>1087</v>
      </c>
      <c r="J162" s="7"/>
      <c r="K162" s="7"/>
      <c r="L162" s="13" t="s">
        <v>1086</v>
      </c>
      <c r="M162" s="13"/>
      <c r="N162" s="13" t="s">
        <v>27</v>
      </c>
      <c r="O162" s="13"/>
      <c r="P162" s="13" t="s">
        <v>198</v>
      </c>
      <c r="Q162" s="14" t="s">
        <v>240</v>
      </c>
      <c r="R162" s="7" t="s">
        <v>1088</v>
      </c>
    </row>
    <row r="163" customFormat="false" ht="109.5" hidden="false" customHeight="true" outlineLevel="0" collapsed="false">
      <c r="A163" s="7" t="s">
        <v>1089</v>
      </c>
      <c r="B163" s="7" t="s">
        <v>39</v>
      </c>
      <c r="C163" s="7" t="s">
        <v>52</v>
      </c>
      <c r="D163" s="9" t="s">
        <v>341</v>
      </c>
      <c r="E163" s="7" t="s">
        <v>59</v>
      </c>
      <c r="F163" s="12" t="s">
        <v>23</v>
      </c>
      <c r="G163" s="7" t="s">
        <v>1090</v>
      </c>
      <c r="H163" s="7" t="s">
        <v>1091</v>
      </c>
      <c r="I163" s="7" t="s">
        <v>343</v>
      </c>
      <c r="J163" s="7" t="s">
        <v>1092</v>
      </c>
      <c r="K163" s="7" t="s">
        <v>1093</v>
      </c>
      <c r="L163" s="13" t="s">
        <v>1091</v>
      </c>
      <c r="M163" s="13"/>
      <c r="N163" s="13" t="s">
        <v>27</v>
      </c>
      <c r="O163" s="13" t="s">
        <v>552</v>
      </c>
      <c r="P163" s="13"/>
      <c r="Q163" s="7" t="s">
        <v>190</v>
      </c>
      <c r="R163" s="7"/>
    </row>
    <row r="164" customFormat="false" ht="120.75" hidden="false" customHeight="true" outlineLevel="0" collapsed="false">
      <c r="A164" s="7" t="s">
        <v>1094</v>
      </c>
      <c r="B164" s="7" t="s">
        <v>39</v>
      </c>
      <c r="C164" s="7" t="s">
        <v>52</v>
      </c>
      <c r="D164" s="9" t="s">
        <v>348</v>
      </c>
      <c r="E164" s="7" t="s">
        <v>59</v>
      </c>
      <c r="F164" s="12" t="s">
        <v>23</v>
      </c>
      <c r="G164" s="7" t="s">
        <v>1095</v>
      </c>
      <c r="H164" s="7" t="s">
        <v>467</v>
      </c>
      <c r="I164" s="7" t="s">
        <v>351</v>
      </c>
      <c r="J164" s="7" t="s">
        <v>1096</v>
      </c>
      <c r="K164" s="7" t="s">
        <v>1097</v>
      </c>
      <c r="L164" s="13" t="s">
        <v>351</v>
      </c>
      <c r="M164" s="13"/>
      <c r="N164" s="13" t="s">
        <v>27</v>
      </c>
      <c r="O164" s="13" t="s">
        <v>1098</v>
      </c>
      <c r="P164" s="13"/>
      <c r="Q164" s="7" t="s">
        <v>190</v>
      </c>
      <c r="R164" s="7"/>
    </row>
  </sheetData>
  <autoFilter ref="A1:R164"/>
  <conditionalFormatting sqref="A2:K164">
    <cfRule type="expression" priority="2" aboveAverage="0" equalAverage="0" bottom="0" percent="0" rank="0" text="" dxfId="7">
      <formula>$N2="Resolved"</formula>
    </cfRule>
  </conditionalFormatting>
  <dataValidations count="2">
    <dataValidation allowBlank="true" errorStyle="stop" operator="between" showDropDown="false" showErrorMessage="false" showInputMessage="false" sqref="N2:N164" type="list">
      <formula1>"Open,Resolved,Escalate-R3"</formula1>
      <formula2>0</formula2>
    </dataValidation>
    <dataValidation allowBlank="true" errorStyle="stop" operator="between" showDropDown="false" showErrorMessage="false" showInputMessage="false" sqref="P2:P164" type="list">
      <formula1>"R1+R2,R3,Triage"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4" min="3" style="0" width="34"/>
    <col collapsed="false" customWidth="true" hidden="false" outlineLevel="0" max="5" min="5" style="0" width="12"/>
    <col collapsed="false" customWidth="true" hidden="false" outlineLevel="0" max="6" min="6" style="0" width="26"/>
    <col collapsed="false" customWidth="true" hidden="false" outlineLevel="0" max="8" min="7" style="0" width="70"/>
  </cols>
  <sheetData>
    <row r="1" customFormat="false" ht="52.2" hidden="false" customHeight="false" outlineLevel="0" collapsed="false">
      <c r="A1" s="6" t="s">
        <v>22</v>
      </c>
      <c r="B1" s="6" t="s">
        <v>41</v>
      </c>
      <c r="C1" s="6" t="s">
        <v>1099</v>
      </c>
      <c r="D1" s="6" t="s">
        <v>1100</v>
      </c>
      <c r="E1" s="6" t="s">
        <v>1101</v>
      </c>
      <c r="F1" s="6" t="s">
        <v>170</v>
      </c>
      <c r="G1" s="6" t="s">
        <v>173</v>
      </c>
      <c r="H1" s="6" t="s">
        <v>174</v>
      </c>
    </row>
    <row r="2" customFormat="false" ht="79.5" hidden="false" customHeight="true" outlineLevel="0" collapsed="false">
      <c r="A2" s="7" t="s">
        <v>35</v>
      </c>
      <c r="B2" s="7" t="s">
        <v>44</v>
      </c>
      <c r="C2" s="7" t="s">
        <v>1102</v>
      </c>
      <c r="D2" s="7" t="s">
        <v>1103</v>
      </c>
      <c r="E2" s="7" t="s">
        <v>1104</v>
      </c>
      <c r="F2" s="7" t="s">
        <v>890</v>
      </c>
      <c r="G2" s="7" t="s">
        <v>187</v>
      </c>
      <c r="H2" s="7" t="s">
        <v>188</v>
      </c>
    </row>
    <row r="3" customFormat="false" ht="79.5" hidden="false" customHeight="true" outlineLevel="0" collapsed="false">
      <c r="A3" s="7" t="s">
        <v>35</v>
      </c>
      <c r="B3" s="7" t="s">
        <v>44</v>
      </c>
      <c r="C3" s="7" t="s">
        <v>1105</v>
      </c>
      <c r="D3" s="7" t="s">
        <v>1106</v>
      </c>
      <c r="E3" s="7" t="s">
        <v>1091</v>
      </c>
      <c r="F3" s="7" t="s">
        <v>251</v>
      </c>
      <c r="G3" s="7" t="s">
        <v>1107</v>
      </c>
      <c r="H3" s="7" t="s">
        <v>1108</v>
      </c>
    </row>
    <row r="4" customFormat="false" ht="79.5" hidden="false" customHeight="true" outlineLevel="0" collapsed="false">
      <c r="A4" s="7" t="s">
        <v>35</v>
      </c>
      <c r="B4" s="7" t="s">
        <v>44</v>
      </c>
      <c r="C4" s="7" t="s">
        <v>1109</v>
      </c>
      <c r="D4" s="7" t="s">
        <v>1110</v>
      </c>
      <c r="E4" s="7" t="s">
        <v>1104</v>
      </c>
      <c r="F4" s="7" t="s">
        <v>203</v>
      </c>
      <c r="G4" s="7" t="s">
        <v>196</v>
      </c>
      <c r="H4" s="7" t="s">
        <v>197</v>
      </c>
    </row>
    <row r="5" customFormat="false" ht="79.5" hidden="false" customHeight="true" outlineLevel="0" collapsed="false">
      <c r="A5" s="7" t="s">
        <v>35</v>
      </c>
      <c r="B5" s="7" t="s">
        <v>44</v>
      </c>
      <c r="C5" s="7" t="s">
        <v>1111</v>
      </c>
      <c r="D5" s="7" t="s">
        <v>1112</v>
      </c>
      <c r="E5" s="7" t="s">
        <v>1104</v>
      </c>
      <c r="F5" s="7" t="s">
        <v>237</v>
      </c>
      <c r="G5" s="7" t="s">
        <v>206</v>
      </c>
      <c r="H5" s="7" t="s">
        <v>207</v>
      </c>
    </row>
    <row r="6" customFormat="false" ht="79.5" hidden="false" customHeight="true" outlineLevel="0" collapsed="false">
      <c r="A6" s="7" t="s">
        <v>35</v>
      </c>
      <c r="B6" s="7" t="s">
        <v>44</v>
      </c>
      <c r="C6" s="7" t="s">
        <v>1113</v>
      </c>
      <c r="D6" s="7" t="s">
        <v>1114</v>
      </c>
      <c r="E6" s="7" t="s">
        <v>1091</v>
      </c>
      <c r="F6" s="7" t="s">
        <v>1115</v>
      </c>
      <c r="G6" s="7" t="s">
        <v>1116</v>
      </c>
      <c r="H6" s="7" t="s">
        <v>1117</v>
      </c>
    </row>
    <row r="7" customFormat="false" ht="79.5" hidden="false" customHeight="true" outlineLevel="0" collapsed="false">
      <c r="A7" s="7" t="s">
        <v>35</v>
      </c>
      <c r="B7" s="7" t="s">
        <v>45</v>
      </c>
      <c r="C7" s="7" t="s">
        <v>1118</v>
      </c>
      <c r="D7" s="7" t="s">
        <v>1119</v>
      </c>
      <c r="E7" s="7" t="s">
        <v>1091</v>
      </c>
      <c r="F7" s="7" t="s">
        <v>237</v>
      </c>
      <c r="G7" s="7" t="s">
        <v>1120</v>
      </c>
      <c r="H7" s="7" t="s">
        <v>1121</v>
      </c>
    </row>
    <row r="8" customFormat="false" ht="79.5" hidden="false" customHeight="true" outlineLevel="0" collapsed="false">
      <c r="A8" s="7" t="s">
        <v>35</v>
      </c>
      <c r="B8" s="7" t="s">
        <v>45</v>
      </c>
      <c r="C8" s="7" t="s">
        <v>1122</v>
      </c>
      <c r="D8" s="7" t="s">
        <v>1123</v>
      </c>
      <c r="E8" s="7" t="s">
        <v>1091</v>
      </c>
      <c r="F8" s="7" t="s">
        <v>509</v>
      </c>
      <c r="G8" s="7" t="s">
        <v>1124</v>
      </c>
      <c r="H8" s="7" t="s">
        <v>1125</v>
      </c>
    </row>
    <row r="9" customFormat="false" ht="79.5" hidden="false" customHeight="true" outlineLevel="0" collapsed="false">
      <c r="A9" s="7" t="s">
        <v>35</v>
      </c>
      <c r="B9" s="7" t="s">
        <v>45</v>
      </c>
      <c r="C9" s="7" t="s">
        <v>1126</v>
      </c>
      <c r="D9" s="7" t="s">
        <v>1127</v>
      </c>
      <c r="E9" s="7" t="s">
        <v>1091</v>
      </c>
      <c r="F9" s="7" t="s">
        <v>237</v>
      </c>
      <c r="G9" s="7" t="s">
        <v>1128</v>
      </c>
      <c r="H9" s="7" t="s">
        <v>1129</v>
      </c>
    </row>
    <row r="10" customFormat="false" ht="79.5" hidden="false" customHeight="true" outlineLevel="0" collapsed="false">
      <c r="A10" s="7" t="s">
        <v>35</v>
      </c>
      <c r="B10" s="7" t="s">
        <v>45</v>
      </c>
      <c r="C10" s="7" t="s">
        <v>1130</v>
      </c>
      <c r="D10" s="7" t="s">
        <v>1131</v>
      </c>
      <c r="E10" s="7" t="s">
        <v>1104</v>
      </c>
      <c r="F10" s="7" t="s">
        <v>237</v>
      </c>
      <c r="G10" s="7" t="s">
        <v>214</v>
      </c>
      <c r="H10" s="7" t="s">
        <v>215</v>
      </c>
    </row>
    <row r="11" customFormat="false" ht="79.5" hidden="false" customHeight="true" outlineLevel="0" collapsed="false">
      <c r="A11" s="7" t="s">
        <v>35</v>
      </c>
      <c r="B11" s="7" t="s">
        <v>45</v>
      </c>
      <c r="C11" s="7" t="s">
        <v>1132</v>
      </c>
      <c r="D11" s="7" t="s">
        <v>1133</v>
      </c>
      <c r="E11" s="7" t="s">
        <v>1091</v>
      </c>
      <c r="F11" s="7" t="s">
        <v>1134</v>
      </c>
      <c r="G11" s="7" t="s">
        <v>1135</v>
      </c>
      <c r="H11" s="7" t="s">
        <v>1136</v>
      </c>
    </row>
    <row r="12" customFormat="false" ht="79.5" hidden="false" customHeight="true" outlineLevel="0" collapsed="false">
      <c r="A12" s="7" t="s">
        <v>35</v>
      </c>
      <c r="B12" s="7" t="s">
        <v>45</v>
      </c>
      <c r="C12" s="7" t="s">
        <v>1137</v>
      </c>
      <c r="D12" s="7" t="s">
        <v>1138</v>
      </c>
      <c r="E12" s="7" t="s">
        <v>1104</v>
      </c>
      <c r="F12" s="7" t="s">
        <v>244</v>
      </c>
      <c r="G12" s="7" t="s">
        <v>221</v>
      </c>
      <c r="H12" s="7" t="s">
        <v>222</v>
      </c>
    </row>
    <row r="13" customFormat="false" ht="79.5" hidden="false" customHeight="true" outlineLevel="0" collapsed="false">
      <c r="A13" s="7" t="s">
        <v>35</v>
      </c>
      <c r="B13" s="7" t="s">
        <v>45</v>
      </c>
      <c r="C13" s="7" t="s">
        <v>1139</v>
      </c>
      <c r="D13" s="7" t="s">
        <v>1140</v>
      </c>
      <c r="E13" s="7" t="s">
        <v>1104</v>
      </c>
      <c r="F13" s="7" t="s">
        <v>237</v>
      </c>
      <c r="G13" s="7" t="s">
        <v>226</v>
      </c>
      <c r="H13" s="7" t="s">
        <v>227</v>
      </c>
    </row>
    <row r="14" customFormat="false" ht="79.5" hidden="false" customHeight="true" outlineLevel="0" collapsed="false">
      <c r="A14" s="7" t="s">
        <v>35</v>
      </c>
      <c r="B14" s="7" t="s">
        <v>45</v>
      </c>
      <c r="C14" s="7" t="s">
        <v>1141</v>
      </c>
      <c r="D14" s="7" t="s">
        <v>1142</v>
      </c>
      <c r="E14" s="7" t="s">
        <v>1091</v>
      </c>
      <c r="F14" s="7" t="s">
        <v>237</v>
      </c>
      <c r="G14" s="7" t="s">
        <v>1143</v>
      </c>
      <c r="H14" s="7" t="s">
        <v>1144</v>
      </c>
    </row>
    <row r="15" customFormat="false" ht="79.5" hidden="false" customHeight="true" outlineLevel="0" collapsed="false">
      <c r="A15" s="7" t="s">
        <v>35</v>
      </c>
      <c r="B15" s="7" t="s">
        <v>45</v>
      </c>
      <c r="C15" s="7" t="s">
        <v>1145</v>
      </c>
      <c r="D15" s="7" t="s">
        <v>1146</v>
      </c>
      <c r="E15" s="7" t="s">
        <v>1104</v>
      </c>
      <c r="F15" s="7" t="s">
        <v>890</v>
      </c>
      <c r="G15" s="7" t="s">
        <v>233</v>
      </c>
      <c r="H15" s="7" t="s">
        <v>234</v>
      </c>
    </row>
    <row r="16" customFormat="false" ht="79.5" hidden="false" customHeight="true" outlineLevel="0" collapsed="false">
      <c r="A16" s="7" t="s">
        <v>35</v>
      </c>
      <c r="B16" s="7" t="s">
        <v>45</v>
      </c>
      <c r="C16" s="7" t="s">
        <v>1147</v>
      </c>
      <c r="D16" s="7" t="s">
        <v>1148</v>
      </c>
      <c r="E16" s="7" t="s">
        <v>1091</v>
      </c>
      <c r="F16" s="7" t="s">
        <v>497</v>
      </c>
      <c r="G16" s="7" t="s">
        <v>1149</v>
      </c>
      <c r="H16" s="7" t="s">
        <v>1150</v>
      </c>
    </row>
    <row r="17" customFormat="false" ht="79.5" hidden="false" customHeight="true" outlineLevel="0" collapsed="false">
      <c r="A17" s="7" t="s">
        <v>35</v>
      </c>
      <c r="B17" s="7" t="s">
        <v>45</v>
      </c>
      <c r="C17" s="7" t="s">
        <v>1151</v>
      </c>
      <c r="D17" s="7" t="s">
        <v>1148</v>
      </c>
      <c r="E17" s="7" t="s">
        <v>1091</v>
      </c>
      <c r="F17" s="7" t="s">
        <v>1152</v>
      </c>
      <c r="G17" s="7" t="s">
        <v>1153</v>
      </c>
      <c r="H17" s="7" t="s">
        <v>1154</v>
      </c>
    </row>
    <row r="18" customFormat="false" ht="79.5" hidden="false" customHeight="true" outlineLevel="0" collapsed="false">
      <c r="A18" s="7" t="s">
        <v>35</v>
      </c>
      <c r="B18" s="7" t="s">
        <v>46</v>
      </c>
      <c r="C18" s="7" t="s">
        <v>1155</v>
      </c>
      <c r="D18" s="7" t="s">
        <v>1156</v>
      </c>
      <c r="E18" s="7" t="s">
        <v>1091</v>
      </c>
      <c r="F18" s="7" t="s">
        <v>297</v>
      </c>
      <c r="G18" s="7" t="s">
        <v>1157</v>
      </c>
      <c r="H18" s="7" t="s">
        <v>1158</v>
      </c>
    </row>
    <row r="19" customFormat="false" ht="79.5" hidden="false" customHeight="true" outlineLevel="0" collapsed="false">
      <c r="A19" s="7" t="s">
        <v>35</v>
      </c>
      <c r="B19" s="7" t="s">
        <v>46</v>
      </c>
      <c r="C19" s="7" t="s">
        <v>1159</v>
      </c>
      <c r="D19" s="7" t="s">
        <v>1160</v>
      </c>
      <c r="E19" s="7" t="s">
        <v>1091</v>
      </c>
      <c r="F19" s="7" t="s">
        <v>1161</v>
      </c>
      <c r="G19" s="7" t="s">
        <v>1162</v>
      </c>
      <c r="H19" s="7" t="s">
        <v>1163</v>
      </c>
    </row>
    <row r="20" customFormat="false" ht="79.5" hidden="false" customHeight="true" outlineLevel="0" collapsed="false">
      <c r="A20" s="7" t="s">
        <v>35</v>
      </c>
      <c r="B20" s="7" t="s">
        <v>46</v>
      </c>
      <c r="C20" s="7" t="s">
        <v>1164</v>
      </c>
      <c r="D20" s="7" t="s">
        <v>1165</v>
      </c>
      <c r="E20" s="7" t="s">
        <v>1091</v>
      </c>
      <c r="F20" s="7" t="s">
        <v>1166</v>
      </c>
      <c r="G20" s="7" t="s">
        <v>1167</v>
      </c>
      <c r="H20" s="7" t="s">
        <v>1168</v>
      </c>
    </row>
    <row r="21" customFormat="false" ht="79.5" hidden="false" customHeight="true" outlineLevel="0" collapsed="false">
      <c r="A21" s="7" t="s">
        <v>35</v>
      </c>
      <c r="B21" s="7" t="s">
        <v>46</v>
      </c>
      <c r="C21" s="7" t="s">
        <v>1169</v>
      </c>
      <c r="D21" s="7" t="s">
        <v>1170</v>
      </c>
      <c r="E21" s="7" t="s">
        <v>1091</v>
      </c>
      <c r="F21" s="7" t="s">
        <v>237</v>
      </c>
      <c r="G21" s="7" t="s">
        <v>1171</v>
      </c>
      <c r="H21" s="7" t="s">
        <v>1172</v>
      </c>
    </row>
    <row r="22" customFormat="false" ht="79.5" hidden="false" customHeight="true" outlineLevel="0" collapsed="false">
      <c r="A22" s="7" t="s">
        <v>35</v>
      </c>
      <c r="B22" s="7" t="s">
        <v>46</v>
      </c>
      <c r="C22" s="7" t="s">
        <v>1173</v>
      </c>
      <c r="D22" s="7" t="s">
        <v>1174</v>
      </c>
      <c r="E22" s="7" t="s">
        <v>1091</v>
      </c>
      <c r="F22" s="7" t="s">
        <v>521</v>
      </c>
      <c r="G22" s="7" t="s">
        <v>1175</v>
      </c>
      <c r="H22" s="7" t="s">
        <v>1176</v>
      </c>
    </row>
    <row r="23" customFormat="false" ht="79.5" hidden="false" customHeight="true" outlineLevel="0" collapsed="false">
      <c r="A23" s="7" t="s">
        <v>35</v>
      </c>
      <c r="B23" s="7" t="s">
        <v>46</v>
      </c>
      <c r="C23" s="7" t="s">
        <v>1177</v>
      </c>
      <c r="D23" s="7" t="s">
        <v>1178</v>
      </c>
      <c r="E23" s="7" t="s">
        <v>1091</v>
      </c>
      <c r="F23" s="7" t="s">
        <v>237</v>
      </c>
      <c r="G23" s="7" t="s">
        <v>1179</v>
      </c>
      <c r="H23" s="7" t="s">
        <v>1180</v>
      </c>
    </row>
    <row r="24" customFormat="false" ht="79.5" hidden="false" customHeight="true" outlineLevel="0" collapsed="false">
      <c r="A24" s="7" t="s">
        <v>35</v>
      </c>
      <c r="B24" s="7" t="s">
        <v>46</v>
      </c>
      <c r="C24" s="7" t="s">
        <v>1181</v>
      </c>
      <c r="D24" s="7" t="s">
        <v>1182</v>
      </c>
      <c r="E24" s="7" t="s">
        <v>1091</v>
      </c>
      <c r="F24" s="7" t="s">
        <v>251</v>
      </c>
      <c r="G24" s="7" t="s">
        <v>1183</v>
      </c>
      <c r="H24" s="7" t="s">
        <v>1184</v>
      </c>
    </row>
    <row r="25" customFormat="false" ht="79.5" hidden="false" customHeight="true" outlineLevel="0" collapsed="false">
      <c r="A25" s="7" t="s">
        <v>35</v>
      </c>
      <c r="B25" s="7" t="s">
        <v>46</v>
      </c>
      <c r="C25" s="7" t="s">
        <v>1185</v>
      </c>
      <c r="D25" s="7" t="s">
        <v>1186</v>
      </c>
      <c r="E25" s="7" t="s">
        <v>1091</v>
      </c>
      <c r="F25" s="7" t="s">
        <v>486</v>
      </c>
      <c r="G25" s="7" t="s">
        <v>1187</v>
      </c>
      <c r="H25" s="7" t="s">
        <v>1188</v>
      </c>
    </row>
    <row r="26" customFormat="false" ht="79.5" hidden="false" customHeight="true" outlineLevel="0" collapsed="false">
      <c r="A26" s="7" t="s">
        <v>35</v>
      </c>
      <c r="B26" s="7" t="s">
        <v>46</v>
      </c>
      <c r="C26" s="7" t="s">
        <v>1189</v>
      </c>
      <c r="D26" s="7" t="s">
        <v>1190</v>
      </c>
      <c r="E26" s="7" t="s">
        <v>1091</v>
      </c>
      <c r="F26" s="7" t="s">
        <v>251</v>
      </c>
      <c r="G26" s="7" t="s">
        <v>1191</v>
      </c>
      <c r="H26" s="7" t="s">
        <v>1192</v>
      </c>
    </row>
    <row r="27" customFormat="false" ht="79.5" hidden="false" customHeight="true" outlineLevel="0" collapsed="false">
      <c r="A27" s="7" t="s">
        <v>35</v>
      </c>
      <c r="B27" s="7" t="s">
        <v>46</v>
      </c>
      <c r="C27" s="7" t="s">
        <v>1193</v>
      </c>
      <c r="D27" s="7" t="s">
        <v>1194</v>
      </c>
      <c r="E27" s="7" t="s">
        <v>1091</v>
      </c>
      <c r="F27" s="7" t="s">
        <v>244</v>
      </c>
      <c r="G27" s="7" t="s">
        <v>1195</v>
      </c>
      <c r="H27" s="7" t="s">
        <v>1196</v>
      </c>
    </row>
    <row r="28" customFormat="false" ht="79.5" hidden="false" customHeight="true" outlineLevel="0" collapsed="false">
      <c r="A28" s="7" t="s">
        <v>35</v>
      </c>
      <c r="B28" s="7" t="s">
        <v>46</v>
      </c>
      <c r="C28" s="7" t="s">
        <v>1197</v>
      </c>
      <c r="D28" s="7" t="s">
        <v>1198</v>
      </c>
      <c r="E28" s="7" t="s">
        <v>1091</v>
      </c>
      <c r="F28" s="7" t="s">
        <v>890</v>
      </c>
      <c r="G28" s="7" t="s">
        <v>1199</v>
      </c>
      <c r="H28" s="7" t="s">
        <v>1200</v>
      </c>
    </row>
    <row r="29" customFormat="false" ht="79.5" hidden="false" customHeight="true" outlineLevel="0" collapsed="false">
      <c r="A29" s="7" t="s">
        <v>35</v>
      </c>
      <c r="B29" s="7" t="s">
        <v>47</v>
      </c>
      <c r="C29" s="7" t="s">
        <v>1201</v>
      </c>
      <c r="D29" s="7" t="s">
        <v>1202</v>
      </c>
      <c r="E29" s="7" t="s">
        <v>1091</v>
      </c>
      <c r="F29" s="7" t="s">
        <v>1076</v>
      </c>
      <c r="G29" s="7" t="s">
        <v>1203</v>
      </c>
      <c r="H29" s="7" t="s">
        <v>1204</v>
      </c>
    </row>
    <row r="30" customFormat="false" ht="79.5" hidden="false" customHeight="true" outlineLevel="0" collapsed="false">
      <c r="A30" s="7" t="s">
        <v>35</v>
      </c>
      <c r="B30" s="7" t="s">
        <v>47</v>
      </c>
      <c r="C30" s="7" t="s">
        <v>1205</v>
      </c>
      <c r="D30" s="7" t="s">
        <v>1206</v>
      </c>
      <c r="E30" s="7" t="s">
        <v>1091</v>
      </c>
      <c r="F30" s="7" t="s">
        <v>917</v>
      </c>
      <c r="G30" s="7" t="s">
        <v>1207</v>
      </c>
      <c r="H30" s="7" t="s">
        <v>1208</v>
      </c>
    </row>
    <row r="31" customFormat="false" ht="79.5" hidden="false" customHeight="true" outlineLevel="0" collapsed="false">
      <c r="A31" s="7" t="s">
        <v>35</v>
      </c>
      <c r="B31" s="7" t="s">
        <v>47</v>
      </c>
      <c r="C31" s="7" t="s">
        <v>1209</v>
      </c>
      <c r="D31" s="7" t="s">
        <v>1210</v>
      </c>
      <c r="E31" s="7" t="s">
        <v>1091</v>
      </c>
      <c r="F31" s="7" t="s">
        <v>420</v>
      </c>
      <c r="G31" s="7" t="s">
        <v>1211</v>
      </c>
      <c r="H31" s="7" t="s">
        <v>1212</v>
      </c>
    </row>
    <row r="32" customFormat="false" ht="79.5" hidden="false" customHeight="true" outlineLevel="0" collapsed="false">
      <c r="A32" s="7" t="s">
        <v>35</v>
      </c>
      <c r="B32" s="7" t="s">
        <v>47</v>
      </c>
      <c r="C32" s="7" t="s">
        <v>1213</v>
      </c>
      <c r="D32" s="7" t="s">
        <v>1214</v>
      </c>
      <c r="E32" s="7" t="s">
        <v>1091</v>
      </c>
      <c r="F32" s="7" t="s">
        <v>497</v>
      </c>
      <c r="G32" s="7" t="s">
        <v>1215</v>
      </c>
      <c r="H32" s="7" t="s">
        <v>1216</v>
      </c>
    </row>
    <row r="33" customFormat="false" ht="79.5" hidden="false" customHeight="true" outlineLevel="0" collapsed="false">
      <c r="A33" s="7" t="s">
        <v>35</v>
      </c>
      <c r="B33" s="7" t="s">
        <v>47</v>
      </c>
      <c r="C33" s="7" t="s">
        <v>1217</v>
      </c>
      <c r="D33" s="7" t="s">
        <v>1218</v>
      </c>
      <c r="E33" s="7" t="s">
        <v>1091</v>
      </c>
      <c r="F33" s="7" t="s">
        <v>486</v>
      </c>
      <c r="G33" s="7" t="s">
        <v>1219</v>
      </c>
      <c r="H33" s="7" t="s">
        <v>1220</v>
      </c>
    </row>
    <row r="34" customFormat="false" ht="79.5" hidden="false" customHeight="true" outlineLevel="0" collapsed="false">
      <c r="A34" s="7" t="s">
        <v>35</v>
      </c>
      <c r="B34" s="7" t="s">
        <v>48</v>
      </c>
      <c r="C34" s="7" t="s">
        <v>1221</v>
      </c>
      <c r="D34" s="7" t="s">
        <v>1222</v>
      </c>
      <c r="E34" s="7" t="s">
        <v>1091</v>
      </c>
      <c r="F34" s="7" t="s">
        <v>237</v>
      </c>
      <c r="G34" s="7" t="s">
        <v>1223</v>
      </c>
      <c r="H34" s="7" t="s">
        <v>1224</v>
      </c>
    </row>
    <row r="35" customFormat="false" ht="79.5" hidden="false" customHeight="true" outlineLevel="0" collapsed="false">
      <c r="A35" s="7" t="s">
        <v>35</v>
      </c>
      <c r="B35" s="7" t="s">
        <v>48</v>
      </c>
      <c r="C35" s="7" t="s">
        <v>1225</v>
      </c>
      <c r="D35" s="7" t="s">
        <v>1226</v>
      </c>
      <c r="E35" s="7" t="s">
        <v>1104</v>
      </c>
      <c r="F35" s="7" t="s">
        <v>237</v>
      </c>
      <c r="G35" s="7" t="s">
        <v>259</v>
      </c>
      <c r="H35" s="7" t="s">
        <v>260</v>
      </c>
    </row>
    <row r="36" customFormat="false" ht="79.5" hidden="false" customHeight="true" outlineLevel="0" collapsed="false">
      <c r="A36" s="7" t="s">
        <v>35</v>
      </c>
      <c r="B36" s="7" t="s">
        <v>48</v>
      </c>
      <c r="C36" s="7" t="s">
        <v>1227</v>
      </c>
      <c r="D36" s="7" t="s">
        <v>1228</v>
      </c>
      <c r="E36" s="7" t="s">
        <v>1104</v>
      </c>
      <c r="F36" s="7" t="s">
        <v>251</v>
      </c>
      <c r="G36" s="7" t="s">
        <v>265</v>
      </c>
      <c r="H36" s="7" t="s">
        <v>266</v>
      </c>
    </row>
    <row r="37" customFormat="false" ht="79.5" hidden="false" customHeight="true" outlineLevel="0" collapsed="false">
      <c r="A37" s="7" t="s">
        <v>35</v>
      </c>
      <c r="B37" s="7" t="s">
        <v>48</v>
      </c>
      <c r="C37" s="7" t="s">
        <v>1229</v>
      </c>
      <c r="D37" s="7" t="s">
        <v>1230</v>
      </c>
      <c r="E37" s="7" t="s">
        <v>1091</v>
      </c>
      <c r="F37" s="7" t="s">
        <v>486</v>
      </c>
      <c r="G37" s="7" t="s">
        <v>1231</v>
      </c>
      <c r="H37" s="7" t="s">
        <v>1232</v>
      </c>
    </row>
    <row r="38" customFormat="false" ht="79.5" hidden="false" customHeight="true" outlineLevel="0" collapsed="false">
      <c r="A38" s="7" t="s">
        <v>35</v>
      </c>
      <c r="B38" s="7" t="s">
        <v>48</v>
      </c>
      <c r="C38" s="7" t="s">
        <v>1233</v>
      </c>
      <c r="D38" s="7" t="s">
        <v>126</v>
      </c>
      <c r="E38" s="7" t="s">
        <v>1104</v>
      </c>
      <c r="F38" s="7" t="s">
        <v>251</v>
      </c>
      <c r="G38" s="7" t="s">
        <v>273</v>
      </c>
      <c r="H38" s="7" t="s">
        <v>274</v>
      </c>
    </row>
    <row r="39" customFormat="false" ht="79.5" hidden="false" customHeight="true" outlineLevel="0" collapsed="false">
      <c r="A39" s="7" t="s">
        <v>35</v>
      </c>
      <c r="B39" s="7" t="s">
        <v>48</v>
      </c>
      <c r="C39" s="7" t="s">
        <v>1234</v>
      </c>
      <c r="D39" s="7" t="s">
        <v>1235</v>
      </c>
      <c r="E39" s="7" t="s">
        <v>1091</v>
      </c>
      <c r="F39" s="7" t="s">
        <v>1152</v>
      </c>
      <c r="G39" s="7" t="s">
        <v>1236</v>
      </c>
      <c r="H39" s="7" t="s">
        <v>1237</v>
      </c>
    </row>
    <row r="40" customFormat="false" ht="79.5" hidden="false" customHeight="true" outlineLevel="0" collapsed="false">
      <c r="A40" s="7" t="s">
        <v>35</v>
      </c>
      <c r="B40" s="7" t="s">
        <v>48</v>
      </c>
      <c r="C40" s="7" t="s">
        <v>1238</v>
      </c>
      <c r="D40" s="7" t="s">
        <v>1239</v>
      </c>
      <c r="E40" s="7" t="s">
        <v>1104</v>
      </c>
      <c r="F40" s="7" t="s">
        <v>765</v>
      </c>
      <c r="G40" s="7" t="s">
        <v>280</v>
      </c>
      <c r="H40" s="7" t="s">
        <v>281</v>
      </c>
    </row>
    <row r="41" customFormat="false" ht="79.5" hidden="false" customHeight="true" outlineLevel="0" collapsed="false">
      <c r="A41" s="7" t="s">
        <v>35</v>
      </c>
      <c r="B41" s="7" t="s">
        <v>48</v>
      </c>
      <c r="C41" s="7" t="s">
        <v>1240</v>
      </c>
      <c r="D41" s="7" t="s">
        <v>1241</v>
      </c>
      <c r="E41" s="7" t="s">
        <v>1104</v>
      </c>
      <c r="F41" s="7" t="s">
        <v>686</v>
      </c>
      <c r="G41" s="7" t="s">
        <v>288</v>
      </c>
      <c r="H41" s="7" t="s">
        <v>289</v>
      </c>
    </row>
    <row r="42" customFormat="false" ht="79.5" hidden="false" customHeight="true" outlineLevel="0" collapsed="false">
      <c r="A42" s="7" t="s">
        <v>35</v>
      </c>
      <c r="B42" s="7" t="s">
        <v>48</v>
      </c>
      <c r="C42" s="7" t="s">
        <v>1242</v>
      </c>
      <c r="D42" s="7" t="s">
        <v>1243</v>
      </c>
      <c r="E42" s="7" t="s">
        <v>1104</v>
      </c>
      <c r="F42" s="7" t="s">
        <v>693</v>
      </c>
      <c r="G42" s="7" t="s">
        <v>300</v>
      </c>
      <c r="H42" s="7" t="s">
        <v>301</v>
      </c>
    </row>
    <row r="43" customFormat="false" ht="79.5" hidden="false" customHeight="true" outlineLevel="0" collapsed="false">
      <c r="A43" s="7" t="s">
        <v>35</v>
      </c>
      <c r="B43" s="7" t="s">
        <v>51</v>
      </c>
      <c r="C43" s="7" t="s">
        <v>1244</v>
      </c>
      <c r="D43" s="7" t="s">
        <v>1245</v>
      </c>
      <c r="E43" s="7" t="s">
        <v>1091</v>
      </c>
      <c r="F43" s="7" t="s">
        <v>1076</v>
      </c>
      <c r="G43" s="7" t="s">
        <v>1246</v>
      </c>
      <c r="H43" s="7" t="s">
        <v>1247</v>
      </c>
    </row>
    <row r="44" customFormat="false" ht="79.5" hidden="false" customHeight="true" outlineLevel="0" collapsed="false">
      <c r="A44" s="7" t="s">
        <v>35</v>
      </c>
      <c r="B44" s="7" t="s">
        <v>51</v>
      </c>
      <c r="C44" s="7" t="s">
        <v>1248</v>
      </c>
      <c r="D44" s="7" t="s">
        <v>1249</v>
      </c>
      <c r="E44" s="7" t="s">
        <v>1091</v>
      </c>
      <c r="F44" s="7" t="s">
        <v>251</v>
      </c>
      <c r="G44" s="7" t="s">
        <v>1250</v>
      </c>
      <c r="H44" s="7" t="s">
        <v>1251</v>
      </c>
    </row>
    <row r="45" customFormat="false" ht="79.5" hidden="false" customHeight="true" outlineLevel="0" collapsed="false">
      <c r="A45" s="7" t="s">
        <v>35</v>
      </c>
      <c r="B45" s="7" t="s">
        <v>51</v>
      </c>
      <c r="C45" s="7" t="s">
        <v>1252</v>
      </c>
      <c r="D45" s="7" t="s">
        <v>1253</v>
      </c>
      <c r="E45" s="7" t="s">
        <v>1091</v>
      </c>
      <c r="F45" s="7" t="s">
        <v>486</v>
      </c>
      <c r="G45" s="7" t="s">
        <v>1254</v>
      </c>
      <c r="H45" s="7" t="s">
        <v>1255</v>
      </c>
    </row>
    <row r="46" customFormat="false" ht="79.5" hidden="false" customHeight="true" outlineLevel="0" collapsed="false">
      <c r="A46" s="7" t="s">
        <v>35</v>
      </c>
      <c r="B46" s="7" t="s">
        <v>51</v>
      </c>
      <c r="C46" s="7" t="s">
        <v>1256</v>
      </c>
      <c r="D46" s="7" t="s">
        <v>1257</v>
      </c>
      <c r="E46" s="7" t="s">
        <v>1104</v>
      </c>
      <c r="F46" s="7" t="s">
        <v>251</v>
      </c>
      <c r="G46" s="7" t="s">
        <v>319</v>
      </c>
      <c r="H46" s="7" t="s">
        <v>320</v>
      </c>
    </row>
    <row r="47" customFormat="false" ht="79.5" hidden="false" customHeight="true" outlineLevel="0" collapsed="false">
      <c r="A47" s="7" t="s">
        <v>35</v>
      </c>
      <c r="B47" s="7" t="s">
        <v>51</v>
      </c>
      <c r="C47" s="7" t="s">
        <v>1258</v>
      </c>
      <c r="D47" s="7" t="s">
        <v>1259</v>
      </c>
      <c r="E47" s="7" t="s">
        <v>1091</v>
      </c>
      <c r="F47" s="7" t="s">
        <v>521</v>
      </c>
      <c r="G47" s="7" t="s">
        <v>1260</v>
      </c>
      <c r="H47" s="7" t="s">
        <v>1261</v>
      </c>
    </row>
    <row r="48" customFormat="false" ht="79.5" hidden="false" customHeight="true" outlineLevel="0" collapsed="false">
      <c r="A48" s="7" t="s">
        <v>35</v>
      </c>
      <c r="B48" s="7" t="s">
        <v>51</v>
      </c>
      <c r="C48" s="7" t="s">
        <v>1262</v>
      </c>
      <c r="D48" s="7" t="s">
        <v>1263</v>
      </c>
      <c r="E48" s="7" t="s">
        <v>1104</v>
      </c>
      <c r="F48" s="7" t="s">
        <v>1152</v>
      </c>
      <c r="G48" s="7" t="s">
        <v>332</v>
      </c>
      <c r="H48" s="7" t="s">
        <v>333</v>
      </c>
    </row>
    <row r="49" customFormat="false" ht="79.5" hidden="false" customHeight="true" outlineLevel="0" collapsed="false">
      <c r="A49" s="7" t="s">
        <v>35</v>
      </c>
      <c r="B49" s="7" t="s">
        <v>51</v>
      </c>
      <c r="C49" s="7" t="s">
        <v>1264</v>
      </c>
      <c r="D49" s="7" t="s">
        <v>1265</v>
      </c>
      <c r="E49" s="7" t="s">
        <v>1091</v>
      </c>
      <c r="F49" s="7" t="s">
        <v>521</v>
      </c>
      <c r="G49" s="7" t="s">
        <v>1266</v>
      </c>
      <c r="H49" s="7" t="s">
        <v>1267</v>
      </c>
    </row>
    <row r="50" customFormat="false" ht="79.5" hidden="false" customHeight="true" outlineLevel="0" collapsed="false">
      <c r="A50" s="7" t="s">
        <v>35</v>
      </c>
      <c r="B50" s="7" t="s">
        <v>51</v>
      </c>
      <c r="C50" s="7" t="s">
        <v>1268</v>
      </c>
      <c r="D50" s="7" t="s">
        <v>1269</v>
      </c>
      <c r="E50" s="7" t="s">
        <v>1091</v>
      </c>
      <c r="F50" s="7" t="s">
        <v>1152</v>
      </c>
      <c r="G50" s="7" t="s">
        <v>1270</v>
      </c>
      <c r="H50" s="7" t="s">
        <v>1271</v>
      </c>
    </row>
    <row r="51" customFormat="false" ht="79.5" hidden="false" customHeight="true" outlineLevel="0" collapsed="false">
      <c r="A51" s="7" t="s">
        <v>35</v>
      </c>
      <c r="B51" s="7" t="s">
        <v>52</v>
      </c>
      <c r="C51" s="7" t="s">
        <v>1272</v>
      </c>
      <c r="D51" s="7" t="s">
        <v>1273</v>
      </c>
      <c r="E51" s="7" t="s">
        <v>1091</v>
      </c>
      <c r="F51" s="7" t="s">
        <v>521</v>
      </c>
      <c r="G51" s="7" t="s">
        <v>1274</v>
      </c>
      <c r="H51" s="7" t="s">
        <v>1275</v>
      </c>
    </row>
    <row r="52" customFormat="false" ht="79.5" hidden="false" customHeight="true" outlineLevel="0" collapsed="false">
      <c r="A52" s="7" t="s">
        <v>35</v>
      </c>
      <c r="B52" s="7" t="s">
        <v>52</v>
      </c>
      <c r="C52" s="7" t="s">
        <v>1276</v>
      </c>
      <c r="D52" s="7" t="s">
        <v>1277</v>
      </c>
      <c r="E52" s="7" t="s">
        <v>1091</v>
      </c>
      <c r="F52" s="7" t="s">
        <v>1152</v>
      </c>
      <c r="G52" s="7" t="s">
        <v>1278</v>
      </c>
      <c r="H52" s="7" t="s">
        <v>1279</v>
      </c>
    </row>
    <row r="53" customFormat="false" ht="79.5" hidden="false" customHeight="true" outlineLevel="0" collapsed="false">
      <c r="A53" s="7" t="s">
        <v>35</v>
      </c>
      <c r="B53" s="7" t="s">
        <v>52</v>
      </c>
      <c r="C53" s="7" t="s">
        <v>1280</v>
      </c>
      <c r="D53" s="7" t="s">
        <v>1281</v>
      </c>
      <c r="E53" s="7" t="s">
        <v>1091</v>
      </c>
      <c r="F53" s="7" t="s">
        <v>251</v>
      </c>
      <c r="G53" s="7" t="s">
        <v>1282</v>
      </c>
      <c r="H53" s="7" t="s">
        <v>1283</v>
      </c>
    </row>
    <row r="54" customFormat="false" ht="79.5" hidden="false" customHeight="true" outlineLevel="0" collapsed="false">
      <c r="A54" s="7" t="s">
        <v>35</v>
      </c>
      <c r="B54" s="7" t="s">
        <v>52</v>
      </c>
      <c r="C54" s="7" t="s">
        <v>1284</v>
      </c>
      <c r="D54" s="7" t="s">
        <v>1285</v>
      </c>
      <c r="E54" s="7" t="s">
        <v>1104</v>
      </c>
      <c r="F54" s="7" t="s">
        <v>244</v>
      </c>
      <c r="G54" s="7" t="s">
        <v>345</v>
      </c>
      <c r="H54" s="7" t="s">
        <v>346</v>
      </c>
    </row>
    <row r="55" customFormat="false" ht="79.5" hidden="false" customHeight="true" outlineLevel="0" collapsed="false">
      <c r="A55" s="7" t="s">
        <v>35</v>
      </c>
      <c r="B55" s="7" t="s">
        <v>52</v>
      </c>
      <c r="C55" s="7" t="s">
        <v>1286</v>
      </c>
      <c r="D55" s="7" t="s">
        <v>1287</v>
      </c>
      <c r="E55" s="7" t="s">
        <v>1104</v>
      </c>
      <c r="F55" s="7" t="s">
        <v>521</v>
      </c>
      <c r="G55" s="7" t="s">
        <v>352</v>
      </c>
      <c r="H55" s="7" t="s">
        <v>353</v>
      </c>
    </row>
    <row r="56" customFormat="false" ht="79.5" hidden="false" customHeight="true" outlineLevel="0" collapsed="false">
      <c r="A56" s="7" t="s">
        <v>36</v>
      </c>
      <c r="B56" s="7" t="s">
        <v>44</v>
      </c>
      <c r="C56" s="7" t="s">
        <v>1102</v>
      </c>
      <c r="D56" s="7" t="s">
        <v>1103</v>
      </c>
      <c r="E56" s="7" t="s">
        <v>1091</v>
      </c>
      <c r="F56" s="7" t="s">
        <v>509</v>
      </c>
      <c r="G56" s="7" t="s">
        <v>1288</v>
      </c>
      <c r="H56" s="7" t="s">
        <v>1289</v>
      </c>
    </row>
    <row r="57" customFormat="false" ht="79.5" hidden="false" customHeight="true" outlineLevel="0" collapsed="false">
      <c r="A57" s="7" t="s">
        <v>36</v>
      </c>
      <c r="B57" s="7" t="s">
        <v>44</v>
      </c>
      <c r="C57" s="7" t="s">
        <v>1105</v>
      </c>
      <c r="D57" s="7" t="s">
        <v>1106</v>
      </c>
      <c r="E57" s="7" t="s">
        <v>1091</v>
      </c>
      <c r="F57" s="7" t="s">
        <v>310</v>
      </c>
      <c r="G57" s="7" t="s">
        <v>1290</v>
      </c>
      <c r="H57" s="7" t="s">
        <v>1291</v>
      </c>
    </row>
    <row r="58" customFormat="false" ht="79.5" hidden="false" customHeight="true" outlineLevel="0" collapsed="false">
      <c r="A58" s="7" t="s">
        <v>36</v>
      </c>
      <c r="B58" s="7" t="s">
        <v>44</v>
      </c>
      <c r="C58" s="7" t="s">
        <v>1109</v>
      </c>
      <c r="D58" s="7" t="s">
        <v>1110</v>
      </c>
      <c r="E58" s="7" t="s">
        <v>1104</v>
      </c>
      <c r="F58" s="7" t="s">
        <v>370</v>
      </c>
      <c r="G58" s="7" t="s">
        <v>373</v>
      </c>
      <c r="H58" s="7" t="s">
        <v>374</v>
      </c>
    </row>
    <row r="59" customFormat="false" ht="79.5" hidden="false" customHeight="true" outlineLevel="0" collapsed="false">
      <c r="A59" s="7" t="s">
        <v>36</v>
      </c>
      <c r="B59" s="7" t="s">
        <v>44</v>
      </c>
      <c r="C59" s="7" t="s">
        <v>1111</v>
      </c>
      <c r="D59" s="7" t="s">
        <v>1112</v>
      </c>
      <c r="E59" s="7" t="s">
        <v>1104</v>
      </c>
      <c r="F59" s="7" t="s">
        <v>917</v>
      </c>
      <c r="G59" s="7" t="s">
        <v>380</v>
      </c>
      <c r="H59" s="7" t="s">
        <v>381</v>
      </c>
    </row>
    <row r="60" customFormat="false" ht="79.5" hidden="false" customHeight="true" outlineLevel="0" collapsed="false">
      <c r="A60" s="7" t="s">
        <v>36</v>
      </c>
      <c r="B60" s="7" t="s">
        <v>44</v>
      </c>
      <c r="C60" s="7" t="s">
        <v>1113</v>
      </c>
      <c r="D60" s="7" t="s">
        <v>1114</v>
      </c>
      <c r="E60" s="7" t="s">
        <v>1104</v>
      </c>
      <c r="F60" s="7" t="s">
        <v>244</v>
      </c>
      <c r="G60" s="7" t="s">
        <v>387</v>
      </c>
      <c r="H60" s="7" t="s">
        <v>388</v>
      </c>
    </row>
    <row r="61" customFormat="false" ht="79.5" hidden="false" customHeight="true" outlineLevel="0" collapsed="false">
      <c r="A61" s="7" t="s">
        <v>36</v>
      </c>
      <c r="B61" s="7" t="s">
        <v>45</v>
      </c>
      <c r="C61" s="7" t="s">
        <v>1118</v>
      </c>
      <c r="D61" s="7" t="s">
        <v>1119</v>
      </c>
      <c r="E61" s="7" t="s">
        <v>1104</v>
      </c>
      <c r="F61" s="7" t="s">
        <v>1292</v>
      </c>
      <c r="G61" s="7" t="s">
        <v>395</v>
      </c>
      <c r="H61" s="7" t="s">
        <v>396</v>
      </c>
    </row>
    <row r="62" customFormat="false" ht="79.5" hidden="false" customHeight="true" outlineLevel="0" collapsed="false">
      <c r="A62" s="7" t="s">
        <v>36</v>
      </c>
      <c r="B62" s="7" t="s">
        <v>45</v>
      </c>
      <c r="C62" s="7" t="s">
        <v>1122</v>
      </c>
      <c r="D62" s="7" t="s">
        <v>1123</v>
      </c>
      <c r="E62" s="7" t="s">
        <v>1104</v>
      </c>
      <c r="F62" s="7" t="s">
        <v>693</v>
      </c>
      <c r="G62" s="7" t="s">
        <v>402</v>
      </c>
      <c r="H62" s="7" t="s">
        <v>403</v>
      </c>
    </row>
    <row r="63" customFormat="false" ht="79.5" hidden="false" customHeight="true" outlineLevel="0" collapsed="false">
      <c r="A63" s="7" t="s">
        <v>36</v>
      </c>
      <c r="B63" s="7" t="s">
        <v>45</v>
      </c>
      <c r="C63" s="7" t="s">
        <v>1126</v>
      </c>
      <c r="D63" s="7" t="s">
        <v>1127</v>
      </c>
      <c r="E63" s="7" t="s">
        <v>1091</v>
      </c>
      <c r="F63" s="7" t="s">
        <v>1293</v>
      </c>
      <c r="G63" s="7" t="s">
        <v>1294</v>
      </c>
      <c r="H63" s="7" t="s">
        <v>1295</v>
      </c>
    </row>
    <row r="64" customFormat="false" ht="79.5" hidden="false" customHeight="true" outlineLevel="0" collapsed="false">
      <c r="A64" s="7" t="s">
        <v>36</v>
      </c>
      <c r="B64" s="7" t="s">
        <v>45</v>
      </c>
      <c r="C64" s="7" t="s">
        <v>1130</v>
      </c>
      <c r="D64" s="7" t="s">
        <v>1131</v>
      </c>
      <c r="E64" s="7" t="s">
        <v>1104</v>
      </c>
      <c r="F64" s="7" t="s">
        <v>251</v>
      </c>
      <c r="G64" s="7" t="s">
        <v>412</v>
      </c>
      <c r="H64" s="7" t="s">
        <v>413</v>
      </c>
    </row>
    <row r="65" customFormat="false" ht="79.5" hidden="false" customHeight="true" outlineLevel="0" collapsed="false">
      <c r="A65" s="7" t="s">
        <v>36</v>
      </c>
      <c r="B65" s="7" t="s">
        <v>45</v>
      </c>
      <c r="C65" s="7" t="s">
        <v>1132</v>
      </c>
      <c r="D65" s="7" t="s">
        <v>1133</v>
      </c>
      <c r="E65" s="7" t="s">
        <v>1091</v>
      </c>
      <c r="F65" s="7" t="s">
        <v>1296</v>
      </c>
      <c r="G65" s="7" t="s">
        <v>1297</v>
      </c>
      <c r="H65" s="7" t="s">
        <v>1298</v>
      </c>
    </row>
    <row r="66" customFormat="false" ht="79.5" hidden="false" customHeight="true" outlineLevel="0" collapsed="false">
      <c r="A66" s="7" t="s">
        <v>36</v>
      </c>
      <c r="B66" s="7" t="s">
        <v>45</v>
      </c>
      <c r="C66" s="7" t="s">
        <v>1137</v>
      </c>
      <c r="D66" s="7" t="s">
        <v>1138</v>
      </c>
      <c r="E66" s="7" t="s">
        <v>1091</v>
      </c>
      <c r="F66" s="7" t="s">
        <v>497</v>
      </c>
      <c r="G66" s="7" t="s">
        <v>1299</v>
      </c>
      <c r="H66" s="7" t="s">
        <v>1300</v>
      </c>
    </row>
    <row r="67" customFormat="false" ht="79.5" hidden="false" customHeight="true" outlineLevel="0" collapsed="false">
      <c r="A67" s="7" t="s">
        <v>36</v>
      </c>
      <c r="B67" s="7" t="s">
        <v>45</v>
      </c>
      <c r="C67" s="7" t="s">
        <v>1139</v>
      </c>
      <c r="D67" s="7" t="s">
        <v>1140</v>
      </c>
      <c r="E67" s="7" t="s">
        <v>1104</v>
      </c>
      <c r="F67" s="7" t="s">
        <v>237</v>
      </c>
      <c r="G67" s="7" t="s">
        <v>416</v>
      </c>
      <c r="H67" s="7" t="s">
        <v>417</v>
      </c>
    </row>
    <row r="68" customFormat="false" ht="79.5" hidden="false" customHeight="true" outlineLevel="0" collapsed="false">
      <c r="A68" s="7" t="s">
        <v>36</v>
      </c>
      <c r="B68" s="7" t="s">
        <v>45</v>
      </c>
      <c r="C68" s="7" t="s">
        <v>1141</v>
      </c>
      <c r="D68" s="7" t="s">
        <v>1142</v>
      </c>
      <c r="E68" s="7" t="s">
        <v>1091</v>
      </c>
      <c r="F68" s="7" t="s">
        <v>203</v>
      </c>
      <c r="G68" s="7" t="s">
        <v>1301</v>
      </c>
      <c r="H68" s="7" t="s">
        <v>1302</v>
      </c>
    </row>
    <row r="69" customFormat="false" ht="79.5" hidden="false" customHeight="true" outlineLevel="0" collapsed="false">
      <c r="A69" s="7" t="s">
        <v>36</v>
      </c>
      <c r="B69" s="7" t="s">
        <v>45</v>
      </c>
      <c r="C69" s="7" t="s">
        <v>1145</v>
      </c>
      <c r="D69" s="7" t="s">
        <v>1146</v>
      </c>
      <c r="E69" s="7" t="s">
        <v>1091</v>
      </c>
      <c r="F69" s="7" t="s">
        <v>251</v>
      </c>
      <c r="G69" s="7" t="s">
        <v>1303</v>
      </c>
      <c r="H69" s="7" t="s">
        <v>1304</v>
      </c>
    </row>
    <row r="70" customFormat="false" ht="79.5" hidden="false" customHeight="true" outlineLevel="0" collapsed="false">
      <c r="A70" s="7" t="s">
        <v>36</v>
      </c>
      <c r="B70" s="7" t="s">
        <v>45</v>
      </c>
      <c r="C70" s="7" t="s">
        <v>1147</v>
      </c>
      <c r="D70" s="7" t="s">
        <v>1148</v>
      </c>
      <c r="E70" s="7" t="s">
        <v>1091</v>
      </c>
      <c r="F70" s="7" t="s">
        <v>297</v>
      </c>
      <c r="G70" s="7" t="s">
        <v>1305</v>
      </c>
      <c r="H70" s="7" t="s">
        <v>1306</v>
      </c>
    </row>
    <row r="71" customFormat="false" ht="79.5" hidden="false" customHeight="true" outlineLevel="0" collapsed="false">
      <c r="A71" s="7" t="s">
        <v>36</v>
      </c>
      <c r="B71" s="7" t="s">
        <v>45</v>
      </c>
      <c r="C71" s="7" t="s">
        <v>1151</v>
      </c>
      <c r="D71" s="7" t="s">
        <v>1148</v>
      </c>
      <c r="E71" s="7" t="s">
        <v>1091</v>
      </c>
      <c r="F71" s="7" t="s">
        <v>509</v>
      </c>
      <c r="G71" s="7" t="s">
        <v>1307</v>
      </c>
      <c r="H71" s="7" t="s">
        <v>1308</v>
      </c>
    </row>
    <row r="72" customFormat="false" ht="79.5" hidden="false" customHeight="true" outlineLevel="0" collapsed="false">
      <c r="A72" s="7" t="s">
        <v>36</v>
      </c>
      <c r="B72" s="7" t="s">
        <v>46</v>
      </c>
      <c r="C72" s="7" t="s">
        <v>1155</v>
      </c>
      <c r="D72" s="7" t="s">
        <v>1156</v>
      </c>
      <c r="E72" s="7" t="s">
        <v>1091</v>
      </c>
      <c r="F72" s="7" t="s">
        <v>757</v>
      </c>
      <c r="G72" s="7" t="s">
        <v>1309</v>
      </c>
      <c r="H72" s="7" t="s">
        <v>1310</v>
      </c>
    </row>
    <row r="73" customFormat="false" ht="79.5" hidden="false" customHeight="true" outlineLevel="0" collapsed="false">
      <c r="A73" s="7" t="s">
        <v>36</v>
      </c>
      <c r="B73" s="7" t="s">
        <v>46</v>
      </c>
      <c r="C73" s="7" t="s">
        <v>1159</v>
      </c>
      <c r="D73" s="7" t="s">
        <v>1160</v>
      </c>
      <c r="E73" s="7" t="s">
        <v>1091</v>
      </c>
      <c r="F73" s="7" t="s">
        <v>1311</v>
      </c>
      <c r="G73" s="7" t="s">
        <v>1312</v>
      </c>
      <c r="H73" s="7" t="s">
        <v>1313</v>
      </c>
    </row>
    <row r="74" customFormat="false" ht="79.5" hidden="false" customHeight="true" outlineLevel="0" collapsed="false">
      <c r="A74" s="7" t="s">
        <v>36</v>
      </c>
      <c r="B74" s="7" t="s">
        <v>46</v>
      </c>
      <c r="C74" s="7" t="s">
        <v>1164</v>
      </c>
      <c r="D74" s="7" t="s">
        <v>1165</v>
      </c>
      <c r="E74" s="7" t="s">
        <v>1091</v>
      </c>
      <c r="F74" s="7" t="s">
        <v>251</v>
      </c>
      <c r="G74" s="7" t="s">
        <v>1314</v>
      </c>
      <c r="H74" s="7" t="s">
        <v>1315</v>
      </c>
    </row>
    <row r="75" customFormat="false" ht="79.5" hidden="false" customHeight="true" outlineLevel="0" collapsed="false">
      <c r="A75" s="7" t="s">
        <v>36</v>
      </c>
      <c r="B75" s="7" t="s">
        <v>46</v>
      </c>
      <c r="C75" s="7" t="s">
        <v>1169</v>
      </c>
      <c r="D75" s="7" t="s">
        <v>1170</v>
      </c>
      <c r="E75" s="7" t="s">
        <v>1091</v>
      </c>
      <c r="F75" s="7" t="s">
        <v>1316</v>
      </c>
      <c r="G75" s="7" t="s">
        <v>1317</v>
      </c>
      <c r="H75" s="7" t="s">
        <v>1318</v>
      </c>
    </row>
    <row r="76" customFormat="false" ht="79.5" hidden="false" customHeight="true" outlineLevel="0" collapsed="false">
      <c r="A76" s="7" t="s">
        <v>36</v>
      </c>
      <c r="B76" s="7" t="s">
        <v>46</v>
      </c>
      <c r="C76" s="7" t="s">
        <v>1173</v>
      </c>
      <c r="D76" s="7" t="s">
        <v>1174</v>
      </c>
      <c r="E76" s="7" t="s">
        <v>1091</v>
      </c>
      <c r="F76" s="7" t="s">
        <v>370</v>
      </c>
      <c r="G76" s="7" t="s">
        <v>1319</v>
      </c>
      <c r="H76" s="7" t="s">
        <v>1320</v>
      </c>
    </row>
    <row r="77" customFormat="false" ht="79.5" hidden="false" customHeight="true" outlineLevel="0" collapsed="false">
      <c r="A77" s="7" t="s">
        <v>36</v>
      </c>
      <c r="B77" s="7" t="s">
        <v>46</v>
      </c>
      <c r="C77" s="7" t="s">
        <v>1177</v>
      </c>
      <c r="D77" s="7" t="s">
        <v>1178</v>
      </c>
      <c r="E77" s="7" t="s">
        <v>1091</v>
      </c>
      <c r="F77" s="7" t="s">
        <v>1321</v>
      </c>
      <c r="G77" s="7" t="s">
        <v>1322</v>
      </c>
      <c r="H77" s="7" t="s">
        <v>1323</v>
      </c>
    </row>
    <row r="78" customFormat="false" ht="79.5" hidden="false" customHeight="true" outlineLevel="0" collapsed="false">
      <c r="A78" s="7" t="s">
        <v>36</v>
      </c>
      <c r="B78" s="7" t="s">
        <v>46</v>
      </c>
      <c r="C78" s="7" t="s">
        <v>1181</v>
      </c>
      <c r="D78" s="7" t="s">
        <v>1182</v>
      </c>
      <c r="E78" s="7" t="s">
        <v>1104</v>
      </c>
      <c r="F78" s="7" t="s">
        <v>251</v>
      </c>
      <c r="G78" s="7" t="s">
        <v>435</v>
      </c>
      <c r="H78" s="7" t="s">
        <v>436</v>
      </c>
    </row>
    <row r="79" customFormat="false" ht="79.5" hidden="false" customHeight="true" outlineLevel="0" collapsed="false">
      <c r="A79" s="7" t="s">
        <v>36</v>
      </c>
      <c r="B79" s="7" t="s">
        <v>46</v>
      </c>
      <c r="C79" s="7" t="s">
        <v>1185</v>
      </c>
      <c r="D79" s="7" t="s">
        <v>1186</v>
      </c>
      <c r="E79" s="7" t="s">
        <v>1091</v>
      </c>
      <c r="F79" s="7" t="s">
        <v>486</v>
      </c>
      <c r="G79" s="7" t="s">
        <v>1324</v>
      </c>
      <c r="H79" s="7" t="s">
        <v>1325</v>
      </c>
    </row>
    <row r="80" customFormat="false" ht="79.5" hidden="false" customHeight="true" outlineLevel="0" collapsed="false">
      <c r="A80" s="7" t="s">
        <v>36</v>
      </c>
      <c r="B80" s="7" t="s">
        <v>46</v>
      </c>
      <c r="C80" s="7" t="s">
        <v>1189</v>
      </c>
      <c r="D80" s="7" t="s">
        <v>1190</v>
      </c>
      <c r="E80" s="7" t="s">
        <v>1104</v>
      </c>
      <c r="F80" s="7" t="s">
        <v>497</v>
      </c>
      <c r="G80" s="7" t="s">
        <v>448</v>
      </c>
      <c r="H80" s="7" t="s">
        <v>449</v>
      </c>
    </row>
    <row r="81" customFormat="false" ht="79.5" hidden="false" customHeight="true" outlineLevel="0" collapsed="false">
      <c r="A81" s="7" t="s">
        <v>36</v>
      </c>
      <c r="B81" s="7" t="s">
        <v>46</v>
      </c>
      <c r="C81" s="7" t="s">
        <v>1193</v>
      </c>
      <c r="D81" s="7" t="s">
        <v>1194</v>
      </c>
      <c r="E81" s="7" t="s">
        <v>1091</v>
      </c>
      <c r="F81" s="7" t="s">
        <v>509</v>
      </c>
      <c r="G81" s="7" t="s">
        <v>1326</v>
      </c>
      <c r="H81" s="7" t="s">
        <v>1327</v>
      </c>
    </row>
    <row r="82" customFormat="false" ht="79.5" hidden="false" customHeight="true" outlineLevel="0" collapsed="false">
      <c r="A82" s="7" t="s">
        <v>36</v>
      </c>
      <c r="B82" s="7" t="s">
        <v>46</v>
      </c>
      <c r="C82" s="7" t="s">
        <v>1197</v>
      </c>
      <c r="D82" s="7" t="s">
        <v>1198</v>
      </c>
      <c r="E82" s="7" t="s">
        <v>1091</v>
      </c>
      <c r="F82" s="7" t="s">
        <v>890</v>
      </c>
      <c r="G82" s="7" t="s">
        <v>1328</v>
      </c>
      <c r="H82" s="7" t="s">
        <v>1329</v>
      </c>
    </row>
    <row r="83" customFormat="false" ht="79.5" hidden="false" customHeight="true" outlineLevel="0" collapsed="false">
      <c r="A83" s="7" t="s">
        <v>36</v>
      </c>
      <c r="B83" s="7" t="s">
        <v>47</v>
      </c>
      <c r="C83" s="7" t="s">
        <v>1201</v>
      </c>
      <c r="D83" s="7" t="s">
        <v>1202</v>
      </c>
      <c r="E83" s="7" t="s">
        <v>1091</v>
      </c>
      <c r="F83" s="7" t="s">
        <v>509</v>
      </c>
      <c r="G83" s="7" t="s">
        <v>1330</v>
      </c>
      <c r="H83" s="7" t="s">
        <v>1331</v>
      </c>
    </row>
    <row r="84" customFormat="false" ht="79.5" hidden="false" customHeight="true" outlineLevel="0" collapsed="false">
      <c r="A84" s="7" t="s">
        <v>36</v>
      </c>
      <c r="B84" s="7" t="s">
        <v>47</v>
      </c>
      <c r="C84" s="7" t="s">
        <v>1205</v>
      </c>
      <c r="D84" s="7" t="s">
        <v>1206</v>
      </c>
      <c r="E84" s="7" t="s">
        <v>1091</v>
      </c>
      <c r="F84" s="7" t="s">
        <v>1332</v>
      </c>
      <c r="G84" s="7" t="s">
        <v>1333</v>
      </c>
      <c r="H84" s="7" t="s">
        <v>1334</v>
      </c>
    </row>
    <row r="85" customFormat="false" ht="79.5" hidden="false" customHeight="true" outlineLevel="0" collapsed="false">
      <c r="A85" s="7" t="s">
        <v>36</v>
      </c>
      <c r="B85" s="7" t="s">
        <v>47</v>
      </c>
      <c r="C85" s="7" t="s">
        <v>1209</v>
      </c>
      <c r="D85" s="7" t="s">
        <v>1210</v>
      </c>
      <c r="E85" s="7" t="s">
        <v>1091</v>
      </c>
      <c r="F85" s="7" t="s">
        <v>1335</v>
      </c>
      <c r="G85" s="7" t="s">
        <v>1336</v>
      </c>
      <c r="H85" s="7" t="s">
        <v>1337</v>
      </c>
    </row>
    <row r="86" customFormat="false" ht="79.5" hidden="false" customHeight="true" outlineLevel="0" collapsed="false">
      <c r="A86" s="7" t="s">
        <v>36</v>
      </c>
      <c r="B86" s="7" t="s">
        <v>47</v>
      </c>
      <c r="C86" s="7" t="s">
        <v>1213</v>
      </c>
      <c r="D86" s="7" t="s">
        <v>1214</v>
      </c>
      <c r="E86" s="7" t="s">
        <v>1091</v>
      </c>
      <c r="F86" s="7" t="s">
        <v>509</v>
      </c>
      <c r="G86" s="7" t="s">
        <v>1338</v>
      </c>
      <c r="H86" s="7" t="s">
        <v>1339</v>
      </c>
    </row>
    <row r="87" customFormat="false" ht="79.5" hidden="false" customHeight="true" outlineLevel="0" collapsed="false">
      <c r="A87" s="7" t="s">
        <v>36</v>
      </c>
      <c r="B87" s="7" t="s">
        <v>47</v>
      </c>
      <c r="C87" s="7" t="s">
        <v>1217</v>
      </c>
      <c r="D87" s="7" t="s">
        <v>1218</v>
      </c>
      <c r="E87" s="7" t="s">
        <v>1091</v>
      </c>
      <c r="F87" s="7" t="s">
        <v>1340</v>
      </c>
      <c r="G87" s="7" t="s">
        <v>1341</v>
      </c>
      <c r="H87" s="7" t="s">
        <v>1342</v>
      </c>
    </row>
    <row r="88" customFormat="false" ht="79.5" hidden="false" customHeight="true" outlineLevel="0" collapsed="false">
      <c r="A88" s="7" t="s">
        <v>36</v>
      </c>
      <c r="B88" s="7" t="s">
        <v>48</v>
      </c>
      <c r="C88" s="7" t="s">
        <v>1221</v>
      </c>
      <c r="D88" s="7" t="s">
        <v>1222</v>
      </c>
      <c r="E88" s="7" t="s">
        <v>1104</v>
      </c>
      <c r="F88" s="7" t="s">
        <v>890</v>
      </c>
      <c r="G88" s="7" t="s">
        <v>455</v>
      </c>
      <c r="H88" s="7" t="s">
        <v>456</v>
      </c>
    </row>
    <row r="89" customFormat="false" ht="79.5" hidden="false" customHeight="true" outlineLevel="0" collapsed="false">
      <c r="A89" s="7" t="s">
        <v>36</v>
      </c>
      <c r="B89" s="7" t="s">
        <v>48</v>
      </c>
      <c r="C89" s="7" t="s">
        <v>1225</v>
      </c>
      <c r="D89" s="7" t="s">
        <v>1226</v>
      </c>
      <c r="E89" s="7" t="s">
        <v>1091</v>
      </c>
      <c r="F89" s="7" t="s">
        <v>705</v>
      </c>
      <c r="G89" s="7" t="s">
        <v>1343</v>
      </c>
      <c r="H89" s="7" t="s">
        <v>1344</v>
      </c>
    </row>
    <row r="90" customFormat="false" ht="79.5" hidden="false" customHeight="true" outlineLevel="0" collapsed="false">
      <c r="A90" s="7" t="s">
        <v>36</v>
      </c>
      <c r="B90" s="7" t="s">
        <v>48</v>
      </c>
      <c r="C90" s="7" t="s">
        <v>1227</v>
      </c>
      <c r="D90" s="7" t="s">
        <v>1228</v>
      </c>
      <c r="E90" s="7" t="s">
        <v>1104</v>
      </c>
      <c r="F90" s="7" t="s">
        <v>1292</v>
      </c>
      <c r="G90" s="7" t="s">
        <v>462</v>
      </c>
      <c r="H90" s="7" t="s">
        <v>463</v>
      </c>
    </row>
    <row r="91" customFormat="false" ht="79.5" hidden="false" customHeight="true" outlineLevel="0" collapsed="false">
      <c r="A91" s="7" t="s">
        <v>36</v>
      </c>
      <c r="B91" s="7" t="s">
        <v>48</v>
      </c>
      <c r="C91" s="7" t="s">
        <v>1229</v>
      </c>
      <c r="D91" s="7" t="s">
        <v>1230</v>
      </c>
      <c r="E91" s="7" t="s">
        <v>1104</v>
      </c>
      <c r="F91" s="7" t="s">
        <v>1152</v>
      </c>
      <c r="G91" s="7" t="s">
        <v>469</v>
      </c>
      <c r="H91" s="7" t="s">
        <v>470</v>
      </c>
    </row>
    <row r="92" customFormat="false" ht="79.5" hidden="false" customHeight="true" outlineLevel="0" collapsed="false">
      <c r="A92" s="7" t="s">
        <v>36</v>
      </c>
      <c r="B92" s="7" t="s">
        <v>48</v>
      </c>
      <c r="C92" s="7" t="s">
        <v>1233</v>
      </c>
      <c r="D92" s="7" t="s">
        <v>126</v>
      </c>
      <c r="E92" s="7" t="s">
        <v>1091</v>
      </c>
      <c r="F92" s="7" t="s">
        <v>770</v>
      </c>
      <c r="G92" s="7" t="s">
        <v>1345</v>
      </c>
      <c r="H92" s="7" t="s">
        <v>1346</v>
      </c>
    </row>
    <row r="93" customFormat="false" ht="79.5" hidden="false" customHeight="true" outlineLevel="0" collapsed="false">
      <c r="A93" s="7" t="s">
        <v>36</v>
      </c>
      <c r="B93" s="7" t="s">
        <v>48</v>
      </c>
      <c r="C93" s="7" t="s">
        <v>1234</v>
      </c>
      <c r="D93" s="7" t="s">
        <v>1235</v>
      </c>
      <c r="E93" s="7" t="s">
        <v>1091</v>
      </c>
      <c r="F93" s="7" t="s">
        <v>890</v>
      </c>
      <c r="G93" s="7" t="s">
        <v>1347</v>
      </c>
      <c r="H93" s="7" t="s">
        <v>1348</v>
      </c>
    </row>
    <row r="94" customFormat="false" ht="79.5" hidden="false" customHeight="true" outlineLevel="0" collapsed="false">
      <c r="A94" s="7" t="s">
        <v>36</v>
      </c>
      <c r="B94" s="7" t="s">
        <v>48</v>
      </c>
      <c r="C94" s="7" t="s">
        <v>1238</v>
      </c>
      <c r="D94" s="7" t="s">
        <v>1239</v>
      </c>
      <c r="E94" s="7" t="s">
        <v>1104</v>
      </c>
      <c r="F94" s="7" t="s">
        <v>1335</v>
      </c>
      <c r="G94" s="7" t="s">
        <v>476</v>
      </c>
      <c r="H94" s="7" t="s">
        <v>477</v>
      </c>
    </row>
    <row r="95" customFormat="false" ht="79.5" hidden="false" customHeight="true" outlineLevel="0" collapsed="false">
      <c r="A95" s="7" t="s">
        <v>36</v>
      </c>
      <c r="B95" s="7" t="s">
        <v>48</v>
      </c>
      <c r="C95" s="7" t="s">
        <v>1240</v>
      </c>
      <c r="D95" s="7" t="s">
        <v>1241</v>
      </c>
      <c r="E95" s="7" t="s">
        <v>1091</v>
      </c>
      <c r="F95" s="7" t="s">
        <v>237</v>
      </c>
      <c r="G95" s="7" t="s">
        <v>1349</v>
      </c>
      <c r="H95" s="7" t="s">
        <v>1350</v>
      </c>
    </row>
    <row r="96" customFormat="false" ht="79.5" hidden="false" customHeight="true" outlineLevel="0" collapsed="false">
      <c r="A96" s="7" t="s">
        <v>36</v>
      </c>
      <c r="B96" s="7" t="s">
        <v>48</v>
      </c>
      <c r="C96" s="7" t="s">
        <v>1242</v>
      </c>
      <c r="D96" s="7" t="s">
        <v>1243</v>
      </c>
      <c r="E96" s="7" t="s">
        <v>1104</v>
      </c>
      <c r="F96" s="7" t="s">
        <v>1351</v>
      </c>
      <c r="G96" s="7" t="s">
        <v>482</v>
      </c>
      <c r="H96" s="7" t="s">
        <v>483</v>
      </c>
    </row>
    <row r="97" customFormat="false" ht="79.5" hidden="false" customHeight="true" outlineLevel="0" collapsed="false">
      <c r="A97" s="7" t="s">
        <v>36</v>
      </c>
      <c r="B97" s="7" t="s">
        <v>51</v>
      </c>
      <c r="C97" s="7" t="s">
        <v>1244</v>
      </c>
      <c r="D97" s="7" t="s">
        <v>1245</v>
      </c>
      <c r="E97" s="7" t="s">
        <v>1091</v>
      </c>
      <c r="F97" s="7" t="s">
        <v>705</v>
      </c>
      <c r="G97" s="7" t="s">
        <v>1352</v>
      </c>
      <c r="H97" s="7" t="s">
        <v>1353</v>
      </c>
    </row>
    <row r="98" customFormat="false" ht="79.5" hidden="false" customHeight="true" outlineLevel="0" collapsed="false">
      <c r="A98" s="7" t="s">
        <v>36</v>
      </c>
      <c r="B98" s="7" t="s">
        <v>51</v>
      </c>
      <c r="C98" s="7" t="s">
        <v>1248</v>
      </c>
      <c r="D98" s="7" t="s">
        <v>1249</v>
      </c>
      <c r="E98" s="7" t="s">
        <v>1104</v>
      </c>
      <c r="F98" s="7" t="s">
        <v>370</v>
      </c>
      <c r="G98" s="7" t="s">
        <v>494</v>
      </c>
      <c r="H98" s="7" t="s">
        <v>495</v>
      </c>
    </row>
    <row r="99" customFormat="false" ht="79.5" hidden="false" customHeight="true" outlineLevel="0" collapsed="false">
      <c r="A99" s="7" t="s">
        <v>36</v>
      </c>
      <c r="B99" s="7" t="s">
        <v>51</v>
      </c>
      <c r="C99" s="7" t="s">
        <v>1252</v>
      </c>
      <c r="D99" s="7" t="s">
        <v>1253</v>
      </c>
      <c r="E99" s="7" t="s">
        <v>1091</v>
      </c>
      <c r="F99" s="7" t="s">
        <v>1134</v>
      </c>
      <c r="G99" s="7" t="s">
        <v>1354</v>
      </c>
      <c r="H99" s="7" t="s">
        <v>1355</v>
      </c>
    </row>
    <row r="100" customFormat="false" ht="79.5" hidden="false" customHeight="true" outlineLevel="0" collapsed="false">
      <c r="A100" s="7" t="s">
        <v>36</v>
      </c>
      <c r="B100" s="7" t="s">
        <v>51</v>
      </c>
      <c r="C100" s="7" t="s">
        <v>1256</v>
      </c>
      <c r="D100" s="7" t="s">
        <v>1257</v>
      </c>
      <c r="E100" s="7" t="s">
        <v>1104</v>
      </c>
      <c r="F100" s="7" t="s">
        <v>509</v>
      </c>
      <c r="G100" s="7" t="s">
        <v>505</v>
      </c>
      <c r="H100" s="7" t="s">
        <v>506</v>
      </c>
    </row>
    <row r="101" customFormat="false" ht="79.5" hidden="false" customHeight="true" outlineLevel="0" collapsed="false">
      <c r="A101" s="7" t="s">
        <v>36</v>
      </c>
      <c r="B101" s="7" t="s">
        <v>51</v>
      </c>
      <c r="C101" s="7" t="s">
        <v>1258</v>
      </c>
      <c r="D101" s="7" t="s">
        <v>1259</v>
      </c>
      <c r="E101" s="7" t="s">
        <v>1091</v>
      </c>
      <c r="F101" s="7" t="s">
        <v>521</v>
      </c>
      <c r="G101" s="7" t="s">
        <v>1356</v>
      </c>
      <c r="H101" s="7" t="s">
        <v>1357</v>
      </c>
    </row>
    <row r="102" customFormat="false" ht="79.5" hidden="false" customHeight="true" outlineLevel="0" collapsed="false">
      <c r="A102" s="7" t="s">
        <v>36</v>
      </c>
      <c r="B102" s="7" t="s">
        <v>51</v>
      </c>
      <c r="C102" s="7" t="s">
        <v>1262</v>
      </c>
      <c r="D102" s="7" t="s">
        <v>1263</v>
      </c>
      <c r="E102" s="7" t="s">
        <v>1104</v>
      </c>
      <c r="F102" s="7" t="s">
        <v>705</v>
      </c>
      <c r="G102" s="7" t="s">
        <v>517</v>
      </c>
      <c r="H102" s="7" t="s">
        <v>518</v>
      </c>
    </row>
    <row r="103" customFormat="false" ht="79.5" hidden="false" customHeight="true" outlineLevel="0" collapsed="false">
      <c r="A103" s="7" t="s">
        <v>36</v>
      </c>
      <c r="B103" s="7" t="s">
        <v>51</v>
      </c>
      <c r="C103" s="7" t="s">
        <v>1264</v>
      </c>
      <c r="D103" s="7" t="s">
        <v>1265</v>
      </c>
      <c r="E103" s="7" t="s">
        <v>1091</v>
      </c>
      <c r="F103" s="7" t="s">
        <v>237</v>
      </c>
      <c r="G103" s="7" t="s">
        <v>1358</v>
      </c>
      <c r="H103" s="7" t="s">
        <v>1359</v>
      </c>
    </row>
    <row r="104" customFormat="false" ht="79.5" hidden="false" customHeight="true" outlineLevel="0" collapsed="false">
      <c r="A104" s="7" t="s">
        <v>36</v>
      </c>
      <c r="B104" s="7" t="s">
        <v>51</v>
      </c>
      <c r="C104" s="7" t="s">
        <v>1268</v>
      </c>
      <c r="D104" s="7" t="s">
        <v>1269</v>
      </c>
      <c r="E104" s="7" t="s">
        <v>1091</v>
      </c>
      <c r="F104" s="7" t="s">
        <v>251</v>
      </c>
      <c r="G104" s="7" t="s">
        <v>1360</v>
      </c>
      <c r="H104" s="7" t="s">
        <v>1361</v>
      </c>
    </row>
    <row r="105" customFormat="false" ht="79.5" hidden="false" customHeight="true" outlineLevel="0" collapsed="false">
      <c r="A105" s="7" t="s">
        <v>36</v>
      </c>
      <c r="B105" s="7" t="s">
        <v>52</v>
      </c>
      <c r="C105" s="7" t="s">
        <v>1272</v>
      </c>
      <c r="D105" s="7" t="s">
        <v>1273</v>
      </c>
      <c r="E105" s="7" t="s">
        <v>1104</v>
      </c>
      <c r="F105" s="7" t="s">
        <v>705</v>
      </c>
      <c r="G105" s="7" t="s">
        <v>527</v>
      </c>
      <c r="H105" s="7" t="s">
        <v>528</v>
      </c>
    </row>
    <row r="106" customFormat="false" ht="79.5" hidden="false" customHeight="true" outlineLevel="0" collapsed="false">
      <c r="A106" s="7" t="s">
        <v>36</v>
      </c>
      <c r="B106" s="7" t="s">
        <v>52</v>
      </c>
      <c r="C106" s="7" t="s">
        <v>1276</v>
      </c>
      <c r="D106" s="7" t="s">
        <v>1277</v>
      </c>
      <c r="E106" s="7" t="s">
        <v>1091</v>
      </c>
      <c r="F106" s="7" t="s">
        <v>1076</v>
      </c>
      <c r="G106" s="7" t="s">
        <v>1362</v>
      </c>
      <c r="H106" s="7" t="s">
        <v>1363</v>
      </c>
    </row>
    <row r="107" customFormat="false" ht="79.5" hidden="false" customHeight="true" outlineLevel="0" collapsed="false">
      <c r="A107" s="7" t="s">
        <v>36</v>
      </c>
      <c r="B107" s="7" t="s">
        <v>52</v>
      </c>
      <c r="C107" s="7" t="s">
        <v>1280</v>
      </c>
      <c r="D107" s="7" t="s">
        <v>1281</v>
      </c>
      <c r="E107" s="7" t="s">
        <v>1104</v>
      </c>
      <c r="F107" s="7" t="s">
        <v>1134</v>
      </c>
      <c r="G107" s="7" t="s">
        <v>531</v>
      </c>
      <c r="H107" s="7" t="s">
        <v>532</v>
      </c>
    </row>
    <row r="108" customFormat="false" ht="79.5" hidden="false" customHeight="true" outlineLevel="0" collapsed="false">
      <c r="A108" s="7" t="s">
        <v>36</v>
      </c>
      <c r="B108" s="7" t="s">
        <v>52</v>
      </c>
      <c r="C108" s="7" t="s">
        <v>1284</v>
      </c>
      <c r="D108" s="7" t="s">
        <v>1285</v>
      </c>
      <c r="E108" s="7" t="s">
        <v>1104</v>
      </c>
      <c r="F108" s="7" t="s">
        <v>251</v>
      </c>
      <c r="G108" s="7" t="s">
        <v>535</v>
      </c>
      <c r="H108" s="7" t="s">
        <v>536</v>
      </c>
    </row>
    <row r="109" customFormat="false" ht="79.5" hidden="false" customHeight="true" outlineLevel="0" collapsed="false">
      <c r="A109" s="7" t="s">
        <v>36</v>
      </c>
      <c r="B109" s="7" t="s">
        <v>52</v>
      </c>
      <c r="C109" s="7" t="s">
        <v>1286</v>
      </c>
      <c r="D109" s="7" t="s">
        <v>1287</v>
      </c>
      <c r="E109" s="7" t="s">
        <v>1091</v>
      </c>
      <c r="F109" s="7" t="s">
        <v>890</v>
      </c>
      <c r="G109" s="7" t="s">
        <v>1364</v>
      </c>
      <c r="H109" s="7" t="s">
        <v>1365</v>
      </c>
    </row>
    <row r="110" customFormat="false" ht="79.5" hidden="false" customHeight="true" outlineLevel="0" collapsed="false">
      <c r="A110" s="7" t="s">
        <v>37</v>
      </c>
      <c r="B110" s="7" t="s">
        <v>44</v>
      </c>
      <c r="C110" s="7" t="s">
        <v>1102</v>
      </c>
      <c r="D110" s="7" t="s">
        <v>1103</v>
      </c>
      <c r="E110" s="7" t="s">
        <v>1091</v>
      </c>
      <c r="F110" s="7" t="s">
        <v>521</v>
      </c>
      <c r="G110" s="7" t="s">
        <v>1366</v>
      </c>
      <c r="H110" s="7" t="s">
        <v>1367</v>
      </c>
    </row>
    <row r="111" customFormat="false" ht="79.5" hidden="false" customHeight="true" outlineLevel="0" collapsed="false">
      <c r="A111" s="7" t="s">
        <v>37</v>
      </c>
      <c r="B111" s="7" t="s">
        <v>44</v>
      </c>
      <c r="C111" s="7" t="s">
        <v>1105</v>
      </c>
      <c r="D111" s="7" t="s">
        <v>1106</v>
      </c>
      <c r="E111" s="7" t="s">
        <v>1091</v>
      </c>
      <c r="F111" s="7" t="s">
        <v>509</v>
      </c>
      <c r="G111" s="7" t="s">
        <v>1368</v>
      </c>
      <c r="H111" s="7" t="s">
        <v>1369</v>
      </c>
    </row>
    <row r="112" customFormat="false" ht="79.5" hidden="false" customHeight="true" outlineLevel="0" collapsed="false">
      <c r="A112" s="7" t="s">
        <v>37</v>
      </c>
      <c r="B112" s="7" t="s">
        <v>44</v>
      </c>
      <c r="C112" s="7" t="s">
        <v>1109</v>
      </c>
      <c r="D112" s="7" t="s">
        <v>1110</v>
      </c>
      <c r="E112" s="7" t="s">
        <v>1104</v>
      </c>
      <c r="F112" s="7" t="s">
        <v>890</v>
      </c>
      <c r="G112" s="7" t="s">
        <v>541</v>
      </c>
      <c r="H112" s="7" t="s">
        <v>542</v>
      </c>
    </row>
    <row r="113" customFormat="false" ht="79.5" hidden="false" customHeight="true" outlineLevel="0" collapsed="false">
      <c r="A113" s="7" t="s">
        <v>37</v>
      </c>
      <c r="B113" s="7" t="s">
        <v>44</v>
      </c>
      <c r="C113" s="7" t="s">
        <v>1111</v>
      </c>
      <c r="D113" s="7" t="s">
        <v>1112</v>
      </c>
      <c r="E113" s="7" t="s">
        <v>1104</v>
      </c>
      <c r="F113" s="7" t="s">
        <v>917</v>
      </c>
      <c r="G113" s="7" t="s">
        <v>547</v>
      </c>
      <c r="H113" s="7" t="s">
        <v>548</v>
      </c>
    </row>
    <row r="114" customFormat="false" ht="79.5" hidden="false" customHeight="true" outlineLevel="0" collapsed="false">
      <c r="A114" s="7" t="s">
        <v>37</v>
      </c>
      <c r="B114" s="7" t="s">
        <v>44</v>
      </c>
      <c r="C114" s="7" t="s">
        <v>1113</v>
      </c>
      <c r="D114" s="7" t="s">
        <v>1114</v>
      </c>
      <c r="E114" s="7" t="s">
        <v>1091</v>
      </c>
      <c r="F114" s="7" t="s">
        <v>1296</v>
      </c>
      <c r="G114" s="7" t="s">
        <v>1370</v>
      </c>
      <c r="H114" s="7" t="s">
        <v>1371</v>
      </c>
    </row>
    <row r="115" customFormat="false" ht="79.5" hidden="false" customHeight="true" outlineLevel="0" collapsed="false">
      <c r="A115" s="7" t="s">
        <v>37</v>
      </c>
      <c r="B115" s="7" t="s">
        <v>45</v>
      </c>
      <c r="C115" s="7" t="s">
        <v>1118</v>
      </c>
      <c r="D115" s="7" t="s">
        <v>1119</v>
      </c>
      <c r="E115" s="7" t="s">
        <v>1091</v>
      </c>
      <c r="F115" s="7" t="s">
        <v>890</v>
      </c>
      <c r="G115" s="7" t="s">
        <v>1372</v>
      </c>
      <c r="H115" s="7" t="s">
        <v>1373</v>
      </c>
    </row>
    <row r="116" customFormat="false" ht="79.5" hidden="false" customHeight="true" outlineLevel="0" collapsed="false">
      <c r="A116" s="7" t="s">
        <v>37</v>
      </c>
      <c r="B116" s="7" t="s">
        <v>45</v>
      </c>
      <c r="C116" s="7" t="s">
        <v>1122</v>
      </c>
      <c r="D116" s="7" t="s">
        <v>1123</v>
      </c>
      <c r="E116" s="7" t="s">
        <v>1091</v>
      </c>
      <c r="F116" s="7" t="s">
        <v>251</v>
      </c>
      <c r="G116" s="7" t="s">
        <v>1374</v>
      </c>
      <c r="H116" s="7" t="s">
        <v>1375</v>
      </c>
    </row>
    <row r="117" customFormat="false" ht="79.5" hidden="false" customHeight="true" outlineLevel="0" collapsed="false">
      <c r="A117" s="7" t="s">
        <v>37</v>
      </c>
      <c r="B117" s="7" t="s">
        <v>45</v>
      </c>
      <c r="C117" s="7" t="s">
        <v>1126</v>
      </c>
      <c r="D117" s="7" t="s">
        <v>1127</v>
      </c>
      <c r="E117" s="7" t="s">
        <v>1091</v>
      </c>
      <c r="F117" s="7" t="s">
        <v>297</v>
      </c>
      <c r="G117" s="7" t="s">
        <v>1376</v>
      </c>
      <c r="H117" s="7" t="s">
        <v>1377</v>
      </c>
    </row>
    <row r="118" customFormat="false" ht="79.5" hidden="false" customHeight="true" outlineLevel="0" collapsed="false">
      <c r="A118" s="7" t="s">
        <v>37</v>
      </c>
      <c r="B118" s="7" t="s">
        <v>45</v>
      </c>
      <c r="C118" s="7" t="s">
        <v>1130</v>
      </c>
      <c r="D118" s="7" t="s">
        <v>1131</v>
      </c>
      <c r="E118" s="7" t="s">
        <v>1104</v>
      </c>
      <c r="F118" s="7" t="s">
        <v>497</v>
      </c>
      <c r="G118" s="7" t="s">
        <v>550</v>
      </c>
      <c r="H118" s="7" t="s">
        <v>551</v>
      </c>
    </row>
    <row r="119" customFormat="false" ht="79.5" hidden="false" customHeight="true" outlineLevel="0" collapsed="false">
      <c r="A119" s="7" t="s">
        <v>37</v>
      </c>
      <c r="B119" s="7" t="s">
        <v>45</v>
      </c>
      <c r="C119" s="7" t="s">
        <v>1132</v>
      </c>
      <c r="D119" s="7" t="s">
        <v>1133</v>
      </c>
      <c r="E119" s="7" t="s">
        <v>1091</v>
      </c>
      <c r="F119" s="7" t="s">
        <v>297</v>
      </c>
      <c r="G119" s="7" t="s">
        <v>1378</v>
      </c>
      <c r="H119" s="7" t="s">
        <v>1379</v>
      </c>
    </row>
    <row r="120" customFormat="false" ht="79.5" hidden="false" customHeight="true" outlineLevel="0" collapsed="false">
      <c r="A120" s="7" t="s">
        <v>37</v>
      </c>
      <c r="B120" s="7" t="s">
        <v>45</v>
      </c>
      <c r="C120" s="7" t="s">
        <v>1137</v>
      </c>
      <c r="D120" s="7" t="s">
        <v>1138</v>
      </c>
      <c r="E120" s="7" t="s">
        <v>1091</v>
      </c>
      <c r="F120" s="7" t="s">
        <v>251</v>
      </c>
      <c r="G120" s="7" t="s">
        <v>1380</v>
      </c>
      <c r="H120" s="7" t="s">
        <v>1381</v>
      </c>
    </row>
    <row r="121" customFormat="false" ht="79.5" hidden="false" customHeight="true" outlineLevel="0" collapsed="false">
      <c r="A121" s="7" t="s">
        <v>37</v>
      </c>
      <c r="B121" s="7" t="s">
        <v>45</v>
      </c>
      <c r="C121" s="7" t="s">
        <v>1139</v>
      </c>
      <c r="D121" s="7" t="s">
        <v>1140</v>
      </c>
      <c r="E121" s="7" t="s">
        <v>1104</v>
      </c>
      <c r="F121" s="7" t="s">
        <v>251</v>
      </c>
      <c r="G121" s="7" t="s">
        <v>554</v>
      </c>
      <c r="H121" s="7" t="s">
        <v>555</v>
      </c>
    </row>
    <row r="122" customFormat="false" ht="79.5" hidden="false" customHeight="true" outlineLevel="0" collapsed="false">
      <c r="A122" s="7" t="s">
        <v>37</v>
      </c>
      <c r="B122" s="7" t="s">
        <v>45</v>
      </c>
      <c r="C122" s="7" t="s">
        <v>1141</v>
      </c>
      <c r="D122" s="7" t="s">
        <v>1142</v>
      </c>
      <c r="E122" s="7" t="s">
        <v>1091</v>
      </c>
      <c r="F122" s="7" t="s">
        <v>1134</v>
      </c>
      <c r="G122" s="7" t="s">
        <v>1382</v>
      </c>
      <c r="H122" s="7" t="s">
        <v>1383</v>
      </c>
    </row>
    <row r="123" customFormat="false" ht="79.5" hidden="false" customHeight="true" outlineLevel="0" collapsed="false">
      <c r="A123" s="7" t="s">
        <v>37</v>
      </c>
      <c r="B123" s="7" t="s">
        <v>45</v>
      </c>
      <c r="C123" s="7" t="s">
        <v>1145</v>
      </c>
      <c r="D123" s="7" t="s">
        <v>1146</v>
      </c>
      <c r="E123" s="7" t="s">
        <v>1091</v>
      </c>
      <c r="F123" s="7" t="s">
        <v>1152</v>
      </c>
      <c r="G123" s="7" t="s">
        <v>1384</v>
      </c>
      <c r="H123" s="7" t="s">
        <v>1385</v>
      </c>
    </row>
    <row r="124" customFormat="false" ht="79.5" hidden="false" customHeight="true" outlineLevel="0" collapsed="false">
      <c r="A124" s="7" t="s">
        <v>37</v>
      </c>
      <c r="B124" s="7" t="s">
        <v>45</v>
      </c>
      <c r="C124" s="7" t="s">
        <v>1147</v>
      </c>
      <c r="D124" s="7" t="s">
        <v>1148</v>
      </c>
      <c r="E124" s="7" t="s">
        <v>1104</v>
      </c>
      <c r="F124" s="7" t="s">
        <v>890</v>
      </c>
      <c r="G124" s="7" t="s">
        <v>1386</v>
      </c>
      <c r="H124" s="7" t="s">
        <v>1387</v>
      </c>
    </row>
    <row r="125" customFormat="false" ht="79.5" hidden="false" customHeight="true" outlineLevel="0" collapsed="false">
      <c r="A125" s="7" t="s">
        <v>37</v>
      </c>
      <c r="B125" s="7" t="s">
        <v>45</v>
      </c>
      <c r="C125" s="7" t="s">
        <v>1151</v>
      </c>
      <c r="D125" s="7" t="s">
        <v>1148</v>
      </c>
      <c r="E125" s="7" t="s">
        <v>1104</v>
      </c>
      <c r="F125" s="7" t="s">
        <v>406</v>
      </c>
      <c r="G125" s="7" t="s">
        <v>1388</v>
      </c>
      <c r="H125" s="7"/>
    </row>
    <row r="126" customFormat="false" ht="79.5" hidden="false" customHeight="true" outlineLevel="0" collapsed="false">
      <c r="A126" s="7" t="s">
        <v>37</v>
      </c>
      <c r="B126" s="7" t="s">
        <v>46</v>
      </c>
      <c r="C126" s="7" t="s">
        <v>1155</v>
      </c>
      <c r="D126" s="7" t="s">
        <v>1156</v>
      </c>
      <c r="E126" s="7" t="s">
        <v>1104</v>
      </c>
      <c r="F126" s="7" t="s">
        <v>521</v>
      </c>
      <c r="G126" s="7" t="s">
        <v>579</v>
      </c>
      <c r="H126" s="7" t="s">
        <v>580</v>
      </c>
    </row>
    <row r="127" customFormat="false" ht="79.5" hidden="false" customHeight="true" outlineLevel="0" collapsed="false">
      <c r="A127" s="7" t="s">
        <v>37</v>
      </c>
      <c r="B127" s="7" t="s">
        <v>46</v>
      </c>
      <c r="C127" s="7" t="s">
        <v>1159</v>
      </c>
      <c r="D127" s="7" t="s">
        <v>1160</v>
      </c>
      <c r="E127" s="7" t="s">
        <v>1104</v>
      </c>
      <c r="F127" s="7" t="s">
        <v>1389</v>
      </c>
      <c r="G127" s="7" t="s">
        <v>590</v>
      </c>
      <c r="H127" s="7" t="s">
        <v>591</v>
      </c>
    </row>
    <row r="128" customFormat="false" ht="79.5" hidden="false" customHeight="true" outlineLevel="0" collapsed="false">
      <c r="A128" s="7" t="s">
        <v>37</v>
      </c>
      <c r="B128" s="7" t="s">
        <v>46</v>
      </c>
      <c r="C128" s="7" t="s">
        <v>1164</v>
      </c>
      <c r="D128" s="7" t="s">
        <v>1165</v>
      </c>
      <c r="E128" s="7" t="s">
        <v>1104</v>
      </c>
      <c r="F128" s="7" t="s">
        <v>917</v>
      </c>
      <c r="G128" s="7" t="s">
        <v>598</v>
      </c>
      <c r="H128" s="7" t="s">
        <v>599</v>
      </c>
    </row>
    <row r="129" customFormat="false" ht="79.5" hidden="false" customHeight="true" outlineLevel="0" collapsed="false">
      <c r="A129" s="7" t="s">
        <v>37</v>
      </c>
      <c r="B129" s="7" t="s">
        <v>46</v>
      </c>
      <c r="C129" s="7" t="s">
        <v>1169</v>
      </c>
      <c r="D129" s="7" t="s">
        <v>1170</v>
      </c>
      <c r="E129" s="7" t="s">
        <v>1104</v>
      </c>
      <c r="F129" s="7" t="s">
        <v>1152</v>
      </c>
      <c r="G129" s="7" t="s">
        <v>610</v>
      </c>
      <c r="H129" s="7" t="s">
        <v>611</v>
      </c>
    </row>
    <row r="130" customFormat="false" ht="79.5" hidden="false" customHeight="true" outlineLevel="0" collapsed="false">
      <c r="A130" s="7" t="s">
        <v>37</v>
      </c>
      <c r="B130" s="7" t="s">
        <v>46</v>
      </c>
      <c r="C130" s="7" t="s">
        <v>1173</v>
      </c>
      <c r="D130" s="7" t="s">
        <v>1174</v>
      </c>
      <c r="E130" s="7" t="s">
        <v>1091</v>
      </c>
      <c r="F130" s="7" t="s">
        <v>297</v>
      </c>
      <c r="G130" s="7" t="s">
        <v>1390</v>
      </c>
      <c r="H130" s="7" t="s">
        <v>1391</v>
      </c>
    </row>
    <row r="131" customFormat="false" ht="79.5" hidden="false" customHeight="true" outlineLevel="0" collapsed="false">
      <c r="A131" s="7" t="s">
        <v>37</v>
      </c>
      <c r="B131" s="7" t="s">
        <v>46</v>
      </c>
      <c r="C131" s="7" t="s">
        <v>1177</v>
      </c>
      <c r="D131" s="7" t="s">
        <v>1178</v>
      </c>
      <c r="E131" s="7" t="s">
        <v>1091</v>
      </c>
      <c r="F131" s="7" t="s">
        <v>473</v>
      </c>
      <c r="G131" s="7" t="s">
        <v>1392</v>
      </c>
      <c r="H131" s="7" t="s">
        <v>1393</v>
      </c>
    </row>
    <row r="132" customFormat="false" ht="79.5" hidden="false" customHeight="true" outlineLevel="0" collapsed="false">
      <c r="A132" s="7" t="s">
        <v>37</v>
      </c>
      <c r="B132" s="7" t="s">
        <v>46</v>
      </c>
      <c r="C132" s="7" t="s">
        <v>1181</v>
      </c>
      <c r="D132" s="7" t="s">
        <v>1182</v>
      </c>
      <c r="E132" s="7" t="s">
        <v>1104</v>
      </c>
      <c r="F132" s="7" t="s">
        <v>486</v>
      </c>
      <c r="G132" s="7" t="s">
        <v>616</v>
      </c>
      <c r="H132" s="7" t="s">
        <v>617</v>
      </c>
    </row>
    <row r="133" customFormat="false" ht="79.5" hidden="false" customHeight="true" outlineLevel="0" collapsed="false">
      <c r="A133" s="7" t="s">
        <v>37</v>
      </c>
      <c r="B133" s="7" t="s">
        <v>46</v>
      </c>
      <c r="C133" s="7" t="s">
        <v>1185</v>
      </c>
      <c r="D133" s="7" t="s">
        <v>1186</v>
      </c>
      <c r="E133" s="7" t="s">
        <v>1091</v>
      </c>
      <c r="F133" s="7" t="s">
        <v>497</v>
      </c>
      <c r="G133" s="7" t="s">
        <v>1394</v>
      </c>
      <c r="H133" s="7" t="s">
        <v>1395</v>
      </c>
    </row>
    <row r="134" customFormat="false" ht="79.5" hidden="false" customHeight="true" outlineLevel="0" collapsed="false">
      <c r="A134" s="7" t="s">
        <v>37</v>
      </c>
      <c r="B134" s="7" t="s">
        <v>46</v>
      </c>
      <c r="C134" s="7" t="s">
        <v>1189</v>
      </c>
      <c r="D134" s="7" t="s">
        <v>1190</v>
      </c>
      <c r="E134" s="7" t="s">
        <v>1104</v>
      </c>
      <c r="F134" s="7" t="s">
        <v>251</v>
      </c>
      <c r="G134" s="7" t="s">
        <v>627</v>
      </c>
      <c r="H134" s="7" t="s">
        <v>628</v>
      </c>
    </row>
    <row r="135" customFormat="false" ht="79.5" hidden="false" customHeight="true" outlineLevel="0" collapsed="false">
      <c r="A135" s="7" t="s">
        <v>37</v>
      </c>
      <c r="B135" s="7" t="s">
        <v>46</v>
      </c>
      <c r="C135" s="7" t="s">
        <v>1193</v>
      </c>
      <c r="D135" s="7" t="s">
        <v>1194</v>
      </c>
      <c r="E135" s="7" t="s">
        <v>1104</v>
      </c>
      <c r="F135" s="7" t="s">
        <v>237</v>
      </c>
      <c r="G135" s="7" t="s">
        <v>632</v>
      </c>
      <c r="H135" s="7" t="s">
        <v>633</v>
      </c>
    </row>
    <row r="136" customFormat="false" ht="79.5" hidden="false" customHeight="true" outlineLevel="0" collapsed="false">
      <c r="A136" s="7" t="s">
        <v>37</v>
      </c>
      <c r="B136" s="7" t="s">
        <v>46</v>
      </c>
      <c r="C136" s="7" t="s">
        <v>1197</v>
      </c>
      <c r="D136" s="7" t="s">
        <v>1198</v>
      </c>
      <c r="E136" s="7" t="s">
        <v>1091</v>
      </c>
      <c r="F136" s="7" t="s">
        <v>251</v>
      </c>
      <c r="G136" s="7" t="s">
        <v>1396</v>
      </c>
      <c r="H136" s="7" t="s">
        <v>1397</v>
      </c>
    </row>
    <row r="137" customFormat="false" ht="79.5" hidden="false" customHeight="true" outlineLevel="0" collapsed="false">
      <c r="A137" s="7" t="s">
        <v>37</v>
      </c>
      <c r="B137" s="7" t="s">
        <v>47</v>
      </c>
      <c r="C137" s="7" t="s">
        <v>1201</v>
      </c>
      <c r="D137" s="7" t="s">
        <v>1202</v>
      </c>
      <c r="E137" s="7" t="s">
        <v>1104</v>
      </c>
      <c r="F137" s="7" t="s">
        <v>237</v>
      </c>
      <c r="G137" s="7" t="s">
        <v>637</v>
      </c>
      <c r="H137" s="7" t="s">
        <v>638</v>
      </c>
    </row>
    <row r="138" customFormat="false" ht="79.5" hidden="false" customHeight="true" outlineLevel="0" collapsed="false">
      <c r="A138" s="7" t="s">
        <v>37</v>
      </c>
      <c r="B138" s="7" t="s">
        <v>47</v>
      </c>
      <c r="C138" s="7" t="s">
        <v>1205</v>
      </c>
      <c r="D138" s="7" t="s">
        <v>1206</v>
      </c>
      <c r="E138" s="7" t="s">
        <v>1104</v>
      </c>
      <c r="F138" s="7" t="s">
        <v>693</v>
      </c>
      <c r="G138" s="7" t="s">
        <v>644</v>
      </c>
      <c r="H138" s="7" t="s">
        <v>645</v>
      </c>
    </row>
    <row r="139" customFormat="false" ht="79.5" hidden="false" customHeight="true" outlineLevel="0" collapsed="false">
      <c r="A139" s="7" t="s">
        <v>37</v>
      </c>
      <c r="B139" s="7" t="s">
        <v>47</v>
      </c>
      <c r="C139" s="7" t="s">
        <v>1209</v>
      </c>
      <c r="D139" s="7" t="s">
        <v>1210</v>
      </c>
      <c r="E139" s="7" t="s">
        <v>1104</v>
      </c>
      <c r="F139" s="7" t="s">
        <v>686</v>
      </c>
      <c r="G139" s="7" t="s">
        <v>650</v>
      </c>
      <c r="H139" s="7" t="s">
        <v>651</v>
      </c>
    </row>
    <row r="140" customFormat="false" ht="79.5" hidden="false" customHeight="true" outlineLevel="0" collapsed="false">
      <c r="A140" s="7" t="s">
        <v>37</v>
      </c>
      <c r="B140" s="7" t="s">
        <v>47</v>
      </c>
      <c r="C140" s="7" t="s">
        <v>1213</v>
      </c>
      <c r="D140" s="7" t="s">
        <v>1214</v>
      </c>
      <c r="E140" s="7" t="s">
        <v>1104</v>
      </c>
      <c r="F140" s="7" t="s">
        <v>251</v>
      </c>
      <c r="G140" s="7" t="s">
        <v>661</v>
      </c>
      <c r="H140" s="7" t="s">
        <v>662</v>
      </c>
    </row>
    <row r="141" customFormat="false" ht="79.5" hidden="false" customHeight="true" outlineLevel="0" collapsed="false">
      <c r="A141" s="7" t="s">
        <v>37</v>
      </c>
      <c r="B141" s="7" t="s">
        <v>47</v>
      </c>
      <c r="C141" s="7" t="s">
        <v>1217</v>
      </c>
      <c r="D141" s="7" t="s">
        <v>1218</v>
      </c>
      <c r="E141" s="7" t="s">
        <v>1091</v>
      </c>
      <c r="F141" s="7" t="s">
        <v>779</v>
      </c>
      <c r="G141" s="7" t="s">
        <v>1398</v>
      </c>
      <c r="H141" s="7" t="s">
        <v>1399</v>
      </c>
    </row>
    <row r="142" customFormat="false" ht="79.5" hidden="false" customHeight="true" outlineLevel="0" collapsed="false">
      <c r="A142" s="7" t="s">
        <v>37</v>
      </c>
      <c r="B142" s="7" t="s">
        <v>48</v>
      </c>
      <c r="C142" s="7" t="s">
        <v>1221</v>
      </c>
      <c r="D142" s="7" t="s">
        <v>1222</v>
      </c>
      <c r="E142" s="7" t="s">
        <v>1091</v>
      </c>
      <c r="F142" s="7" t="s">
        <v>237</v>
      </c>
      <c r="G142" s="7" t="s">
        <v>1400</v>
      </c>
      <c r="H142" s="7" t="s">
        <v>1401</v>
      </c>
    </row>
    <row r="143" customFormat="false" ht="79.5" hidden="false" customHeight="true" outlineLevel="0" collapsed="false">
      <c r="A143" s="7" t="s">
        <v>37</v>
      </c>
      <c r="B143" s="7" t="s">
        <v>48</v>
      </c>
      <c r="C143" s="7" t="s">
        <v>1225</v>
      </c>
      <c r="D143" s="7" t="s">
        <v>1226</v>
      </c>
      <c r="E143" s="7" t="s">
        <v>1091</v>
      </c>
      <c r="F143" s="7" t="s">
        <v>486</v>
      </c>
      <c r="G143" s="7" t="s">
        <v>1402</v>
      </c>
      <c r="H143" s="7" t="s">
        <v>1403</v>
      </c>
    </row>
    <row r="144" customFormat="false" ht="79.5" hidden="false" customHeight="true" outlineLevel="0" collapsed="false">
      <c r="A144" s="7" t="s">
        <v>37</v>
      </c>
      <c r="B144" s="7" t="s">
        <v>48</v>
      </c>
      <c r="C144" s="7" t="s">
        <v>1227</v>
      </c>
      <c r="D144" s="7" t="s">
        <v>1228</v>
      </c>
      <c r="E144" s="7" t="s">
        <v>1104</v>
      </c>
      <c r="F144" s="7" t="s">
        <v>890</v>
      </c>
      <c r="G144" s="7" t="s">
        <v>671</v>
      </c>
      <c r="H144" s="7" t="s">
        <v>672</v>
      </c>
    </row>
    <row r="145" customFormat="false" ht="79.5" hidden="false" customHeight="true" outlineLevel="0" collapsed="false">
      <c r="A145" s="7" t="s">
        <v>37</v>
      </c>
      <c r="B145" s="7" t="s">
        <v>48</v>
      </c>
      <c r="C145" s="7" t="s">
        <v>1229</v>
      </c>
      <c r="D145" s="7" t="s">
        <v>1230</v>
      </c>
      <c r="E145" s="7" t="s">
        <v>1091</v>
      </c>
      <c r="F145" s="7" t="s">
        <v>1134</v>
      </c>
      <c r="G145" s="7" t="s">
        <v>1404</v>
      </c>
      <c r="H145" s="7" t="s">
        <v>1405</v>
      </c>
    </row>
    <row r="146" customFormat="false" ht="79.5" hidden="false" customHeight="true" outlineLevel="0" collapsed="false">
      <c r="A146" s="7" t="s">
        <v>37</v>
      </c>
      <c r="B146" s="7" t="s">
        <v>48</v>
      </c>
      <c r="C146" s="7" t="s">
        <v>1233</v>
      </c>
      <c r="D146" s="7" t="s">
        <v>126</v>
      </c>
      <c r="E146" s="7" t="s">
        <v>1104</v>
      </c>
      <c r="F146" s="7" t="s">
        <v>497</v>
      </c>
      <c r="G146" s="7" t="s">
        <v>677</v>
      </c>
      <c r="H146" s="7" t="s">
        <v>678</v>
      </c>
    </row>
    <row r="147" customFormat="false" ht="79.5" hidden="false" customHeight="true" outlineLevel="0" collapsed="false">
      <c r="A147" s="7" t="s">
        <v>37</v>
      </c>
      <c r="B147" s="7" t="s">
        <v>48</v>
      </c>
      <c r="C147" s="7" t="s">
        <v>1234</v>
      </c>
      <c r="D147" s="7" t="s">
        <v>1235</v>
      </c>
      <c r="E147" s="7" t="s">
        <v>1091</v>
      </c>
      <c r="F147" s="7" t="s">
        <v>497</v>
      </c>
      <c r="G147" s="7" t="s">
        <v>1406</v>
      </c>
      <c r="H147" s="7" t="s">
        <v>1407</v>
      </c>
    </row>
    <row r="148" customFormat="false" ht="79.5" hidden="false" customHeight="true" outlineLevel="0" collapsed="false">
      <c r="A148" s="7" t="s">
        <v>37</v>
      </c>
      <c r="B148" s="7" t="s">
        <v>48</v>
      </c>
      <c r="C148" s="7" t="s">
        <v>1238</v>
      </c>
      <c r="D148" s="7" t="s">
        <v>1239</v>
      </c>
      <c r="E148" s="7" t="s">
        <v>1104</v>
      </c>
      <c r="F148" s="7" t="s">
        <v>1166</v>
      </c>
      <c r="G148" s="7" t="s">
        <v>683</v>
      </c>
      <c r="H148" s="7" t="s">
        <v>684</v>
      </c>
    </row>
    <row r="149" customFormat="false" ht="79.5" hidden="false" customHeight="true" outlineLevel="0" collapsed="false">
      <c r="A149" s="7" t="s">
        <v>37</v>
      </c>
      <c r="B149" s="7" t="s">
        <v>48</v>
      </c>
      <c r="C149" s="7" t="s">
        <v>1240</v>
      </c>
      <c r="D149" s="7" t="s">
        <v>1241</v>
      </c>
      <c r="E149" s="7" t="s">
        <v>1091</v>
      </c>
      <c r="F149" s="7" t="s">
        <v>1293</v>
      </c>
      <c r="G149" s="7" t="s">
        <v>1408</v>
      </c>
      <c r="H149" s="7" t="s">
        <v>1409</v>
      </c>
    </row>
    <row r="150" customFormat="false" ht="79.5" hidden="false" customHeight="true" outlineLevel="0" collapsed="false">
      <c r="A150" s="7" t="s">
        <v>37</v>
      </c>
      <c r="B150" s="7" t="s">
        <v>48</v>
      </c>
      <c r="C150" s="7" t="s">
        <v>1242</v>
      </c>
      <c r="D150" s="7" t="s">
        <v>1243</v>
      </c>
      <c r="E150" s="7" t="s">
        <v>1104</v>
      </c>
      <c r="F150" s="7" t="s">
        <v>509</v>
      </c>
      <c r="G150" s="7" t="s">
        <v>689</v>
      </c>
      <c r="H150" s="7" t="s">
        <v>690</v>
      </c>
    </row>
    <row r="151" customFormat="false" ht="79.5" hidden="false" customHeight="true" outlineLevel="0" collapsed="false">
      <c r="A151" s="7" t="s">
        <v>37</v>
      </c>
      <c r="B151" s="7" t="s">
        <v>51</v>
      </c>
      <c r="C151" s="7" t="s">
        <v>1244</v>
      </c>
      <c r="D151" s="7" t="s">
        <v>1245</v>
      </c>
      <c r="E151" s="7" t="s">
        <v>1091</v>
      </c>
      <c r="F151" s="7" t="s">
        <v>890</v>
      </c>
      <c r="G151" s="7" t="s">
        <v>1410</v>
      </c>
      <c r="H151" s="7" t="s">
        <v>1411</v>
      </c>
    </row>
    <row r="152" customFormat="false" ht="79.5" hidden="false" customHeight="true" outlineLevel="0" collapsed="false">
      <c r="A152" s="7" t="s">
        <v>37</v>
      </c>
      <c r="B152" s="7" t="s">
        <v>51</v>
      </c>
      <c r="C152" s="7" t="s">
        <v>1248</v>
      </c>
      <c r="D152" s="7" t="s">
        <v>1249</v>
      </c>
      <c r="E152" s="7" t="s">
        <v>1104</v>
      </c>
      <c r="F152" s="7" t="s">
        <v>509</v>
      </c>
      <c r="G152" s="7" t="s">
        <v>700</v>
      </c>
      <c r="H152" s="7" t="s">
        <v>701</v>
      </c>
    </row>
    <row r="153" customFormat="false" ht="79.5" hidden="false" customHeight="true" outlineLevel="0" collapsed="false">
      <c r="A153" s="7" t="s">
        <v>37</v>
      </c>
      <c r="B153" s="7" t="s">
        <v>51</v>
      </c>
      <c r="C153" s="7" t="s">
        <v>1252</v>
      </c>
      <c r="D153" s="7" t="s">
        <v>1253</v>
      </c>
      <c r="E153" s="7" t="s">
        <v>1091</v>
      </c>
      <c r="F153" s="7" t="s">
        <v>509</v>
      </c>
      <c r="G153" s="7" t="s">
        <v>1412</v>
      </c>
      <c r="H153" s="7" t="s">
        <v>1413</v>
      </c>
    </row>
    <row r="154" customFormat="false" ht="79.5" hidden="false" customHeight="true" outlineLevel="0" collapsed="false">
      <c r="A154" s="7" t="s">
        <v>37</v>
      </c>
      <c r="B154" s="7" t="s">
        <v>51</v>
      </c>
      <c r="C154" s="7" t="s">
        <v>1256</v>
      </c>
      <c r="D154" s="7" t="s">
        <v>1257</v>
      </c>
      <c r="E154" s="7" t="s">
        <v>1104</v>
      </c>
      <c r="F154" s="7" t="s">
        <v>890</v>
      </c>
      <c r="G154" s="7" t="s">
        <v>712</v>
      </c>
      <c r="H154" s="7" t="s">
        <v>713</v>
      </c>
    </row>
    <row r="155" customFormat="false" ht="79.5" hidden="false" customHeight="true" outlineLevel="0" collapsed="false">
      <c r="A155" s="7" t="s">
        <v>37</v>
      </c>
      <c r="B155" s="7" t="s">
        <v>51</v>
      </c>
      <c r="C155" s="7" t="s">
        <v>1258</v>
      </c>
      <c r="D155" s="7" t="s">
        <v>1259</v>
      </c>
      <c r="E155" s="7" t="s">
        <v>1091</v>
      </c>
      <c r="F155" s="7" t="s">
        <v>1293</v>
      </c>
      <c r="G155" s="7" t="s">
        <v>1414</v>
      </c>
      <c r="H155" s="7" t="s">
        <v>1415</v>
      </c>
    </row>
    <row r="156" customFormat="false" ht="79.5" hidden="false" customHeight="true" outlineLevel="0" collapsed="false">
      <c r="A156" s="7" t="s">
        <v>37</v>
      </c>
      <c r="B156" s="7" t="s">
        <v>51</v>
      </c>
      <c r="C156" s="7" t="s">
        <v>1262</v>
      </c>
      <c r="D156" s="7" t="s">
        <v>1263</v>
      </c>
      <c r="E156" s="7" t="s">
        <v>1104</v>
      </c>
      <c r="F156" s="7" t="s">
        <v>890</v>
      </c>
      <c r="G156" s="7" t="s">
        <v>721</v>
      </c>
      <c r="H156" s="7" t="s">
        <v>722</v>
      </c>
    </row>
    <row r="157" customFormat="false" ht="79.5" hidden="false" customHeight="true" outlineLevel="0" collapsed="false">
      <c r="A157" s="7" t="s">
        <v>37</v>
      </c>
      <c r="B157" s="7" t="s">
        <v>51</v>
      </c>
      <c r="C157" s="7" t="s">
        <v>1264</v>
      </c>
      <c r="D157" s="7" t="s">
        <v>1265</v>
      </c>
      <c r="E157" s="7" t="s">
        <v>1104</v>
      </c>
      <c r="F157" s="7" t="s">
        <v>509</v>
      </c>
      <c r="G157" s="7" t="s">
        <v>732</v>
      </c>
      <c r="H157" s="7" t="s">
        <v>733</v>
      </c>
    </row>
    <row r="158" customFormat="false" ht="79.5" hidden="false" customHeight="true" outlineLevel="0" collapsed="false">
      <c r="A158" s="7" t="s">
        <v>37</v>
      </c>
      <c r="B158" s="7" t="s">
        <v>51</v>
      </c>
      <c r="C158" s="7" t="s">
        <v>1268</v>
      </c>
      <c r="D158" s="7" t="s">
        <v>1269</v>
      </c>
      <c r="E158" s="7" t="s">
        <v>1091</v>
      </c>
      <c r="F158" s="7" t="s">
        <v>1076</v>
      </c>
      <c r="G158" s="7" t="s">
        <v>1416</v>
      </c>
      <c r="H158" s="7" t="s">
        <v>1417</v>
      </c>
    </row>
    <row r="159" customFormat="false" ht="79.5" hidden="false" customHeight="true" outlineLevel="0" collapsed="false">
      <c r="A159" s="7" t="s">
        <v>37</v>
      </c>
      <c r="B159" s="7" t="s">
        <v>52</v>
      </c>
      <c r="C159" s="7" t="s">
        <v>1272</v>
      </c>
      <c r="D159" s="7" t="s">
        <v>1273</v>
      </c>
      <c r="E159" s="7" t="s">
        <v>1091</v>
      </c>
      <c r="F159" s="7" t="s">
        <v>1293</v>
      </c>
      <c r="G159" s="7" t="s">
        <v>1418</v>
      </c>
      <c r="H159" s="7" t="s">
        <v>1419</v>
      </c>
    </row>
    <row r="160" customFormat="false" ht="79.5" hidden="false" customHeight="true" outlineLevel="0" collapsed="false">
      <c r="A160" s="7" t="s">
        <v>37</v>
      </c>
      <c r="B160" s="7" t="s">
        <v>52</v>
      </c>
      <c r="C160" s="7" t="s">
        <v>1276</v>
      </c>
      <c r="D160" s="7" t="s">
        <v>1277</v>
      </c>
      <c r="E160" s="7" t="s">
        <v>1104</v>
      </c>
      <c r="F160" s="7" t="s">
        <v>509</v>
      </c>
      <c r="G160" s="7" t="s">
        <v>739</v>
      </c>
      <c r="H160" s="7" t="s">
        <v>740</v>
      </c>
    </row>
    <row r="161" customFormat="false" ht="79.5" hidden="false" customHeight="true" outlineLevel="0" collapsed="false">
      <c r="A161" s="7" t="s">
        <v>37</v>
      </c>
      <c r="B161" s="7" t="s">
        <v>52</v>
      </c>
      <c r="C161" s="7" t="s">
        <v>1280</v>
      </c>
      <c r="D161" s="7" t="s">
        <v>1281</v>
      </c>
      <c r="E161" s="7" t="s">
        <v>1104</v>
      </c>
      <c r="F161" s="7" t="s">
        <v>244</v>
      </c>
      <c r="G161" s="7" t="s">
        <v>742</v>
      </c>
      <c r="H161" s="7" t="s">
        <v>743</v>
      </c>
    </row>
    <row r="162" customFormat="false" ht="79.5" hidden="false" customHeight="true" outlineLevel="0" collapsed="false">
      <c r="A162" s="7" t="s">
        <v>37</v>
      </c>
      <c r="B162" s="7" t="s">
        <v>52</v>
      </c>
      <c r="C162" s="7" t="s">
        <v>1284</v>
      </c>
      <c r="D162" s="7" t="s">
        <v>1285</v>
      </c>
      <c r="E162" s="7" t="s">
        <v>1104</v>
      </c>
      <c r="F162" s="7" t="s">
        <v>237</v>
      </c>
      <c r="G162" s="7" t="s">
        <v>745</v>
      </c>
      <c r="H162" s="7" t="s">
        <v>746</v>
      </c>
    </row>
    <row r="163" customFormat="false" ht="79.5" hidden="false" customHeight="true" outlineLevel="0" collapsed="false">
      <c r="A163" s="7" t="s">
        <v>37</v>
      </c>
      <c r="B163" s="7" t="s">
        <v>52</v>
      </c>
      <c r="C163" s="7" t="s">
        <v>1286</v>
      </c>
      <c r="D163" s="7" t="s">
        <v>1287</v>
      </c>
      <c r="E163" s="7" t="s">
        <v>1091</v>
      </c>
      <c r="F163" s="7" t="s">
        <v>1076</v>
      </c>
      <c r="G163" s="7" t="s">
        <v>1420</v>
      </c>
      <c r="H163" s="7" t="s">
        <v>1421</v>
      </c>
    </row>
    <row r="164" customFormat="false" ht="79.5" hidden="false" customHeight="true" outlineLevel="0" collapsed="false">
      <c r="A164" s="7" t="s">
        <v>38</v>
      </c>
      <c r="B164" s="7" t="s">
        <v>44</v>
      </c>
      <c r="C164" s="7" t="s">
        <v>1102</v>
      </c>
      <c r="D164" s="7" t="s">
        <v>1103</v>
      </c>
      <c r="E164" s="7" t="s">
        <v>1091</v>
      </c>
      <c r="F164" s="7" t="s">
        <v>544</v>
      </c>
      <c r="G164" s="7" t="s">
        <v>1422</v>
      </c>
      <c r="H164" s="7" t="s">
        <v>1423</v>
      </c>
    </row>
    <row r="165" customFormat="false" ht="79.5" hidden="false" customHeight="true" outlineLevel="0" collapsed="false">
      <c r="A165" s="7" t="s">
        <v>38</v>
      </c>
      <c r="B165" s="7" t="s">
        <v>44</v>
      </c>
      <c r="C165" s="7" t="s">
        <v>1105</v>
      </c>
      <c r="D165" s="7" t="s">
        <v>1106</v>
      </c>
      <c r="E165" s="7" t="s">
        <v>1091</v>
      </c>
      <c r="F165" s="7" t="s">
        <v>497</v>
      </c>
      <c r="G165" s="7" t="s">
        <v>1424</v>
      </c>
      <c r="H165" s="7" t="s">
        <v>1425</v>
      </c>
    </row>
    <row r="166" customFormat="false" ht="79.5" hidden="false" customHeight="true" outlineLevel="0" collapsed="false">
      <c r="A166" s="7" t="s">
        <v>38</v>
      </c>
      <c r="B166" s="7" t="s">
        <v>44</v>
      </c>
      <c r="C166" s="7" t="s">
        <v>1109</v>
      </c>
      <c r="D166" s="7" t="s">
        <v>1110</v>
      </c>
      <c r="E166" s="7" t="s">
        <v>1104</v>
      </c>
      <c r="F166" s="7" t="s">
        <v>686</v>
      </c>
      <c r="G166" s="7" t="s">
        <v>767</v>
      </c>
      <c r="H166" s="7" t="s">
        <v>768</v>
      </c>
    </row>
    <row r="167" customFormat="false" ht="79.5" hidden="false" customHeight="true" outlineLevel="0" collapsed="false">
      <c r="A167" s="7" t="s">
        <v>38</v>
      </c>
      <c r="B167" s="7" t="s">
        <v>44</v>
      </c>
      <c r="C167" s="7" t="s">
        <v>1111</v>
      </c>
      <c r="D167" s="7" t="s">
        <v>1112</v>
      </c>
      <c r="E167" s="7" t="s">
        <v>1104</v>
      </c>
      <c r="F167" s="7" t="s">
        <v>237</v>
      </c>
      <c r="G167" s="7" t="s">
        <v>773</v>
      </c>
      <c r="H167" s="7" t="s">
        <v>774</v>
      </c>
    </row>
    <row r="168" customFormat="false" ht="79.5" hidden="false" customHeight="true" outlineLevel="0" collapsed="false">
      <c r="A168" s="7" t="s">
        <v>38</v>
      </c>
      <c r="B168" s="7" t="s">
        <v>44</v>
      </c>
      <c r="C168" s="7" t="s">
        <v>1113</v>
      </c>
      <c r="D168" s="7" t="s">
        <v>1114</v>
      </c>
      <c r="E168" s="7" t="s">
        <v>1091</v>
      </c>
      <c r="F168" s="7" t="s">
        <v>544</v>
      </c>
      <c r="G168" s="7" t="s">
        <v>1426</v>
      </c>
      <c r="H168" s="7" t="s">
        <v>1427</v>
      </c>
    </row>
    <row r="169" customFormat="false" ht="79.5" hidden="false" customHeight="true" outlineLevel="0" collapsed="false">
      <c r="A169" s="7" t="s">
        <v>38</v>
      </c>
      <c r="B169" s="7" t="s">
        <v>45</v>
      </c>
      <c r="C169" s="7" t="s">
        <v>1118</v>
      </c>
      <c r="D169" s="7" t="s">
        <v>1119</v>
      </c>
      <c r="E169" s="7" t="s">
        <v>1091</v>
      </c>
      <c r="F169" s="7" t="s">
        <v>521</v>
      </c>
      <c r="G169" s="7" t="s">
        <v>1428</v>
      </c>
      <c r="H169" s="7" t="s">
        <v>1429</v>
      </c>
    </row>
    <row r="170" customFormat="false" ht="79.5" hidden="false" customHeight="true" outlineLevel="0" collapsed="false">
      <c r="A170" s="7" t="s">
        <v>38</v>
      </c>
      <c r="B170" s="7" t="s">
        <v>45</v>
      </c>
      <c r="C170" s="7" t="s">
        <v>1122</v>
      </c>
      <c r="D170" s="7" t="s">
        <v>1123</v>
      </c>
      <c r="E170" s="7" t="s">
        <v>1091</v>
      </c>
      <c r="F170" s="7" t="s">
        <v>509</v>
      </c>
      <c r="G170" s="7" t="s">
        <v>1430</v>
      </c>
      <c r="H170" s="7" t="s">
        <v>1431</v>
      </c>
    </row>
    <row r="171" customFormat="false" ht="79.5" hidden="false" customHeight="true" outlineLevel="0" collapsed="false">
      <c r="A171" s="7" t="s">
        <v>38</v>
      </c>
      <c r="B171" s="7" t="s">
        <v>45</v>
      </c>
      <c r="C171" s="7" t="s">
        <v>1126</v>
      </c>
      <c r="D171" s="7" t="s">
        <v>1127</v>
      </c>
      <c r="E171" s="7" t="s">
        <v>1091</v>
      </c>
      <c r="F171" s="7" t="s">
        <v>251</v>
      </c>
      <c r="G171" s="7" t="s">
        <v>1432</v>
      </c>
      <c r="H171" s="7" t="s">
        <v>1433</v>
      </c>
    </row>
    <row r="172" customFormat="false" ht="79.5" hidden="false" customHeight="true" outlineLevel="0" collapsed="false">
      <c r="A172" s="7" t="s">
        <v>38</v>
      </c>
      <c r="B172" s="7" t="s">
        <v>45</v>
      </c>
      <c r="C172" s="7" t="s">
        <v>1130</v>
      </c>
      <c r="D172" s="7" t="s">
        <v>1131</v>
      </c>
      <c r="E172" s="7" t="s">
        <v>1091</v>
      </c>
      <c r="F172" s="7" t="s">
        <v>765</v>
      </c>
      <c r="G172" s="7" t="s">
        <v>1434</v>
      </c>
      <c r="H172" s="7" t="s">
        <v>1435</v>
      </c>
    </row>
    <row r="173" customFormat="false" ht="79.5" hidden="false" customHeight="true" outlineLevel="0" collapsed="false">
      <c r="A173" s="7" t="s">
        <v>38</v>
      </c>
      <c r="B173" s="7" t="s">
        <v>45</v>
      </c>
      <c r="C173" s="7" t="s">
        <v>1132</v>
      </c>
      <c r="D173" s="7" t="s">
        <v>1133</v>
      </c>
      <c r="E173" s="7" t="s">
        <v>1091</v>
      </c>
      <c r="F173" s="7" t="s">
        <v>917</v>
      </c>
      <c r="G173" s="7" t="s">
        <v>1436</v>
      </c>
      <c r="H173" s="7" t="s">
        <v>1437</v>
      </c>
    </row>
    <row r="174" customFormat="false" ht="79.5" hidden="false" customHeight="true" outlineLevel="0" collapsed="false">
      <c r="A174" s="7" t="s">
        <v>38</v>
      </c>
      <c r="B174" s="7" t="s">
        <v>45</v>
      </c>
      <c r="C174" s="7" t="s">
        <v>1137</v>
      </c>
      <c r="D174" s="7" t="s">
        <v>1138</v>
      </c>
      <c r="E174" s="7" t="s">
        <v>1091</v>
      </c>
      <c r="F174" s="7" t="s">
        <v>237</v>
      </c>
      <c r="G174" s="7" t="s">
        <v>1438</v>
      </c>
      <c r="H174" s="7" t="s">
        <v>1439</v>
      </c>
    </row>
    <row r="175" customFormat="false" ht="79.5" hidden="false" customHeight="true" outlineLevel="0" collapsed="false">
      <c r="A175" s="7" t="s">
        <v>38</v>
      </c>
      <c r="B175" s="7" t="s">
        <v>45</v>
      </c>
      <c r="C175" s="7" t="s">
        <v>1139</v>
      </c>
      <c r="D175" s="7" t="s">
        <v>1140</v>
      </c>
      <c r="E175" s="7" t="s">
        <v>1091</v>
      </c>
      <c r="F175" s="7" t="s">
        <v>251</v>
      </c>
      <c r="G175" s="7" t="s">
        <v>1440</v>
      </c>
      <c r="H175" s="7" t="s">
        <v>1441</v>
      </c>
    </row>
    <row r="176" customFormat="false" ht="79.5" hidden="false" customHeight="true" outlineLevel="0" collapsed="false">
      <c r="A176" s="7" t="s">
        <v>38</v>
      </c>
      <c r="B176" s="7" t="s">
        <v>45</v>
      </c>
      <c r="C176" s="7" t="s">
        <v>1141</v>
      </c>
      <c r="D176" s="7" t="s">
        <v>1142</v>
      </c>
      <c r="E176" s="7" t="s">
        <v>1091</v>
      </c>
      <c r="F176" s="7" t="s">
        <v>237</v>
      </c>
      <c r="G176" s="7" t="s">
        <v>1442</v>
      </c>
      <c r="H176" s="7" t="s">
        <v>1443</v>
      </c>
    </row>
    <row r="177" customFormat="false" ht="79.5" hidden="false" customHeight="true" outlineLevel="0" collapsed="false">
      <c r="A177" s="7" t="s">
        <v>38</v>
      </c>
      <c r="B177" s="7" t="s">
        <v>45</v>
      </c>
      <c r="C177" s="7" t="s">
        <v>1145</v>
      </c>
      <c r="D177" s="7" t="s">
        <v>1146</v>
      </c>
      <c r="E177" s="7" t="s">
        <v>1104</v>
      </c>
      <c r="F177" s="7" t="s">
        <v>509</v>
      </c>
      <c r="G177" s="7" t="s">
        <v>776</v>
      </c>
      <c r="H177" s="7" t="s">
        <v>777</v>
      </c>
    </row>
    <row r="178" customFormat="false" ht="79.5" hidden="false" customHeight="true" outlineLevel="0" collapsed="false">
      <c r="A178" s="7" t="s">
        <v>38</v>
      </c>
      <c r="B178" s="7" t="s">
        <v>45</v>
      </c>
      <c r="C178" s="7" t="s">
        <v>1147</v>
      </c>
      <c r="D178" s="7" t="s">
        <v>1148</v>
      </c>
      <c r="E178" s="7" t="s">
        <v>1091</v>
      </c>
      <c r="F178" s="7" t="s">
        <v>686</v>
      </c>
      <c r="G178" s="7" t="s">
        <v>1444</v>
      </c>
      <c r="H178" s="7" t="s">
        <v>1445</v>
      </c>
    </row>
    <row r="179" customFormat="false" ht="79.5" hidden="false" customHeight="true" outlineLevel="0" collapsed="false">
      <c r="A179" s="7" t="s">
        <v>38</v>
      </c>
      <c r="B179" s="7" t="s">
        <v>45</v>
      </c>
      <c r="C179" s="7" t="s">
        <v>1151</v>
      </c>
      <c r="D179" s="7" t="s">
        <v>1148</v>
      </c>
      <c r="E179" s="7" t="s">
        <v>1091</v>
      </c>
      <c r="F179" s="7" t="s">
        <v>237</v>
      </c>
      <c r="G179" s="7" t="s">
        <v>1446</v>
      </c>
      <c r="H179" s="7" t="s">
        <v>1447</v>
      </c>
    </row>
    <row r="180" customFormat="false" ht="79.5" hidden="false" customHeight="true" outlineLevel="0" collapsed="false">
      <c r="A180" s="7" t="s">
        <v>38</v>
      </c>
      <c r="B180" s="7" t="s">
        <v>46</v>
      </c>
      <c r="C180" s="7" t="s">
        <v>1155</v>
      </c>
      <c r="D180" s="7" t="s">
        <v>1156</v>
      </c>
      <c r="E180" s="7" t="s">
        <v>1104</v>
      </c>
      <c r="F180" s="7" t="s">
        <v>1293</v>
      </c>
      <c r="G180" s="7" t="s">
        <v>790</v>
      </c>
      <c r="H180" s="7" t="s">
        <v>791</v>
      </c>
    </row>
    <row r="181" customFormat="false" ht="79.5" hidden="false" customHeight="true" outlineLevel="0" collapsed="false">
      <c r="A181" s="7" t="s">
        <v>38</v>
      </c>
      <c r="B181" s="7" t="s">
        <v>46</v>
      </c>
      <c r="C181" s="7" t="s">
        <v>1159</v>
      </c>
      <c r="D181" s="7" t="s">
        <v>1160</v>
      </c>
      <c r="E181" s="7" t="s">
        <v>1091</v>
      </c>
      <c r="F181" s="7" t="s">
        <v>1115</v>
      </c>
      <c r="G181" s="7" t="s">
        <v>1448</v>
      </c>
      <c r="H181" s="7" t="s">
        <v>1449</v>
      </c>
    </row>
    <row r="182" customFormat="false" ht="79.5" hidden="false" customHeight="true" outlineLevel="0" collapsed="false">
      <c r="A182" s="7" t="s">
        <v>38</v>
      </c>
      <c r="B182" s="7" t="s">
        <v>46</v>
      </c>
      <c r="C182" s="7" t="s">
        <v>1164</v>
      </c>
      <c r="D182" s="7" t="s">
        <v>1165</v>
      </c>
      <c r="E182" s="7" t="s">
        <v>1104</v>
      </c>
      <c r="F182" s="7" t="s">
        <v>420</v>
      </c>
      <c r="G182" s="7" t="s">
        <v>800</v>
      </c>
      <c r="H182" s="7" t="s">
        <v>801</v>
      </c>
    </row>
    <row r="183" customFormat="false" ht="79.5" hidden="false" customHeight="true" outlineLevel="0" collapsed="false">
      <c r="A183" s="7" t="s">
        <v>38</v>
      </c>
      <c r="B183" s="7" t="s">
        <v>46</v>
      </c>
      <c r="C183" s="7" t="s">
        <v>1169</v>
      </c>
      <c r="D183" s="7" t="s">
        <v>1170</v>
      </c>
      <c r="E183" s="7" t="s">
        <v>1091</v>
      </c>
      <c r="F183" s="7" t="s">
        <v>1450</v>
      </c>
      <c r="G183" s="7" t="s">
        <v>1451</v>
      </c>
      <c r="H183" s="7" t="s">
        <v>1452</v>
      </c>
    </row>
    <row r="184" customFormat="false" ht="79.5" hidden="false" customHeight="true" outlineLevel="0" collapsed="false">
      <c r="A184" s="7" t="s">
        <v>38</v>
      </c>
      <c r="B184" s="7" t="s">
        <v>46</v>
      </c>
      <c r="C184" s="7" t="s">
        <v>1173</v>
      </c>
      <c r="D184" s="7" t="s">
        <v>1174</v>
      </c>
      <c r="E184" s="7" t="s">
        <v>1091</v>
      </c>
      <c r="F184" s="7" t="s">
        <v>509</v>
      </c>
      <c r="G184" s="7" t="s">
        <v>1453</v>
      </c>
      <c r="H184" s="7" t="s">
        <v>1454</v>
      </c>
    </row>
    <row r="185" customFormat="false" ht="79.5" hidden="false" customHeight="true" outlineLevel="0" collapsed="false">
      <c r="A185" s="7" t="s">
        <v>38</v>
      </c>
      <c r="B185" s="7" t="s">
        <v>46</v>
      </c>
      <c r="C185" s="7" t="s">
        <v>1177</v>
      </c>
      <c r="D185" s="7" t="s">
        <v>1178</v>
      </c>
      <c r="E185" s="7" t="s">
        <v>1091</v>
      </c>
      <c r="F185" s="7" t="s">
        <v>619</v>
      </c>
      <c r="G185" s="7" t="s">
        <v>1455</v>
      </c>
      <c r="H185" s="7" t="s">
        <v>1456</v>
      </c>
    </row>
    <row r="186" customFormat="false" ht="79.5" hidden="false" customHeight="true" outlineLevel="0" collapsed="false">
      <c r="A186" s="7" t="s">
        <v>38</v>
      </c>
      <c r="B186" s="7" t="s">
        <v>46</v>
      </c>
      <c r="C186" s="7" t="s">
        <v>1181</v>
      </c>
      <c r="D186" s="7" t="s">
        <v>1182</v>
      </c>
      <c r="E186" s="7" t="s">
        <v>1104</v>
      </c>
      <c r="F186" s="7" t="s">
        <v>486</v>
      </c>
      <c r="G186" s="7" t="s">
        <v>806</v>
      </c>
      <c r="H186" s="7" t="s">
        <v>807</v>
      </c>
    </row>
    <row r="187" customFormat="false" ht="79.5" hidden="false" customHeight="true" outlineLevel="0" collapsed="false">
      <c r="A187" s="7" t="s">
        <v>38</v>
      </c>
      <c r="B187" s="7" t="s">
        <v>46</v>
      </c>
      <c r="C187" s="7" t="s">
        <v>1185</v>
      </c>
      <c r="D187" s="7" t="s">
        <v>1186</v>
      </c>
      <c r="E187" s="7" t="s">
        <v>1091</v>
      </c>
      <c r="F187" s="7" t="s">
        <v>251</v>
      </c>
      <c r="G187" s="7" t="s">
        <v>1457</v>
      </c>
      <c r="H187" s="7" t="s">
        <v>1458</v>
      </c>
    </row>
    <row r="188" customFormat="false" ht="79.5" hidden="false" customHeight="true" outlineLevel="0" collapsed="false">
      <c r="A188" s="7" t="s">
        <v>38</v>
      </c>
      <c r="B188" s="7" t="s">
        <v>46</v>
      </c>
      <c r="C188" s="7" t="s">
        <v>1189</v>
      </c>
      <c r="D188" s="7" t="s">
        <v>1190</v>
      </c>
      <c r="E188" s="7" t="s">
        <v>1104</v>
      </c>
      <c r="F188" s="7" t="s">
        <v>705</v>
      </c>
      <c r="G188" s="7" t="s">
        <v>815</v>
      </c>
      <c r="H188" s="7" t="s">
        <v>816</v>
      </c>
    </row>
    <row r="189" customFormat="false" ht="79.5" hidden="false" customHeight="true" outlineLevel="0" collapsed="false">
      <c r="A189" s="7" t="s">
        <v>38</v>
      </c>
      <c r="B189" s="7" t="s">
        <v>46</v>
      </c>
      <c r="C189" s="7" t="s">
        <v>1193</v>
      </c>
      <c r="D189" s="7" t="s">
        <v>1194</v>
      </c>
      <c r="E189" s="7" t="s">
        <v>1091</v>
      </c>
      <c r="F189" s="7" t="s">
        <v>509</v>
      </c>
      <c r="G189" s="7" t="s">
        <v>1459</v>
      </c>
      <c r="H189" s="7" t="s">
        <v>1460</v>
      </c>
    </row>
    <row r="190" customFormat="false" ht="79.5" hidden="false" customHeight="true" outlineLevel="0" collapsed="false">
      <c r="A190" s="7" t="s">
        <v>38</v>
      </c>
      <c r="B190" s="7" t="s">
        <v>46</v>
      </c>
      <c r="C190" s="7" t="s">
        <v>1197</v>
      </c>
      <c r="D190" s="7" t="s">
        <v>1198</v>
      </c>
      <c r="E190" s="7" t="s">
        <v>1104</v>
      </c>
      <c r="F190" s="7" t="s">
        <v>237</v>
      </c>
      <c r="G190" s="7" t="s">
        <v>823</v>
      </c>
      <c r="H190" s="7" t="s">
        <v>824</v>
      </c>
    </row>
    <row r="191" customFormat="false" ht="79.5" hidden="false" customHeight="true" outlineLevel="0" collapsed="false">
      <c r="A191" s="7" t="s">
        <v>38</v>
      </c>
      <c r="B191" s="7" t="s">
        <v>47</v>
      </c>
      <c r="C191" s="7" t="s">
        <v>1201</v>
      </c>
      <c r="D191" s="7" t="s">
        <v>1202</v>
      </c>
      <c r="E191" s="7" t="s">
        <v>1091</v>
      </c>
      <c r="F191" s="7" t="s">
        <v>890</v>
      </c>
      <c r="G191" s="7" t="s">
        <v>1461</v>
      </c>
      <c r="H191" s="7" t="s">
        <v>1462</v>
      </c>
    </row>
    <row r="192" customFormat="false" ht="79.5" hidden="false" customHeight="true" outlineLevel="0" collapsed="false">
      <c r="A192" s="7" t="s">
        <v>38</v>
      </c>
      <c r="B192" s="7" t="s">
        <v>47</v>
      </c>
      <c r="C192" s="7" t="s">
        <v>1205</v>
      </c>
      <c r="D192" s="7" t="s">
        <v>1206</v>
      </c>
      <c r="E192" s="7" t="s">
        <v>1104</v>
      </c>
      <c r="F192" s="7" t="s">
        <v>497</v>
      </c>
      <c r="G192" s="7" t="s">
        <v>830</v>
      </c>
      <c r="H192" s="7" t="s">
        <v>831</v>
      </c>
    </row>
    <row r="193" customFormat="false" ht="79.5" hidden="false" customHeight="true" outlineLevel="0" collapsed="false">
      <c r="A193" s="7" t="s">
        <v>38</v>
      </c>
      <c r="B193" s="7" t="s">
        <v>47</v>
      </c>
      <c r="C193" s="7" t="s">
        <v>1209</v>
      </c>
      <c r="D193" s="7" t="s">
        <v>1210</v>
      </c>
      <c r="E193" s="7" t="s">
        <v>1104</v>
      </c>
      <c r="F193" s="7" t="s">
        <v>244</v>
      </c>
      <c r="G193" s="7" t="s">
        <v>836</v>
      </c>
      <c r="H193" s="7" t="s">
        <v>837</v>
      </c>
    </row>
    <row r="194" customFormat="false" ht="79.5" hidden="false" customHeight="true" outlineLevel="0" collapsed="false">
      <c r="A194" s="7" t="s">
        <v>38</v>
      </c>
      <c r="B194" s="7" t="s">
        <v>47</v>
      </c>
      <c r="C194" s="7" t="s">
        <v>1213</v>
      </c>
      <c r="D194" s="7" t="s">
        <v>1214</v>
      </c>
      <c r="E194" s="7" t="s">
        <v>1104</v>
      </c>
      <c r="F194" s="7" t="s">
        <v>890</v>
      </c>
      <c r="G194" s="7" t="s">
        <v>842</v>
      </c>
      <c r="H194" s="7" t="s">
        <v>843</v>
      </c>
    </row>
    <row r="195" customFormat="false" ht="79.5" hidden="false" customHeight="true" outlineLevel="0" collapsed="false">
      <c r="A195" s="7" t="s">
        <v>38</v>
      </c>
      <c r="B195" s="7" t="s">
        <v>47</v>
      </c>
      <c r="C195" s="7" t="s">
        <v>1217</v>
      </c>
      <c r="D195" s="7" t="s">
        <v>1218</v>
      </c>
      <c r="E195" s="7" t="s">
        <v>1091</v>
      </c>
      <c r="F195" s="7" t="s">
        <v>521</v>
      </c>
      <c r="G195" s="7" t="s">
        <v>1463</v>
      </c>
      <c r="H195" s="7" t="s">
        <v>1464</v>
      </c>
    </row>
    <row r="196" customFormat="false" ht="79.5" hidden="false" customHeight="true" outlineLevel="0" collapsed="false">
      <c r="A196" s="7" t="s">
        <v>38</v>
      </c>
      <c r="B196" s="7" t="s">
        <v>48</v>
      </c>
      <c r="C196" s="7" t="s">
        <v>1221</v>
      </c>
      <c r="D196" s="7" t="s">
        <v>1222</v>
      </c>
      <c r="E196" s="7" t="s">
        <v>1104</v>
      </c>
      <c r="F196" s="7" t="s">
        <v>890</v>
      </c>
      <c r="G196" s="7" t="s">
        <v>855</v>
      </c>
      <c r="H196" s="7" t="s">
        <v>856</v>
      </c>
    </row>
    <row r="197" customFormat="false" ht="79.5" hidden="false" customHeight="true" outlineLevel="0" collapsed="false">
      <c r="A197" s="7" t="s">
        <v>38</v>
      </c>
      <c r="B197" s="7" t="s">
        <v>48</v>
      </c>
      <c r="C197" s="7" t="s">
        <v>1225</v>
      </c>
      <c r="D197" s="7" t="s">
        <v>1226</v>
      </c>
      <c r="E197" s="7" t="s">
        <v>1104</v>
      </c>
      <c r="F197" s="7" t="s">
        <v>890</v>
      </c>
      <c r="G197" s="7" t="s">
        <v>860</v>
      </c>
      <c r="H197" s="7" t="s">
        <v>861</v>
      </c>
    </row>
    <row r="198" customFormat="false" ht="79.5" hidden="false" customHeight="true" outlineLevel="0" collapsed="false">
      <c r="A198" s="7" t="s">
        <v>38</v>
      </c>
      <c r="B198" s="7" t="s">
        <v>48</v>
      </c>
      <c r="C198" s="7" t="s">
        <v>1227</v>
      </c>
      <c r="D198" s="7" t="s">
        <v>1228</v>
      </c>
      <c r="E198" s="7" t="s">
        <v>1104</v>
      </c>
      <c r="F198" s="7" t="s">
        <v>544</v>
      </c>
      <c r="G198" s="7" t="s">
        <v>866</v>
      </c>
      <c r="H198" s="7" t="s">
        <v>867</v>
      </c>
    </row>
    <row r="199" customFormat="false" ht="79.5" hidden="false" customHeight="true" outlineLevel="0" collapsed="false">
      <c r="A199" s="7" t="s">
        <v>38</v>
      </c>
      <c r="B199" s="7" t="s">
        <v>48</v>
      </c>
      <c r="C199" s="7" t="s">
        <v>1229</v>
      </c>
      <c r="D199" s="7" t="s">
        <v>1230</v>
      </c>
      <c r="E199" s="7" t="s">
        <v>1091</v>
      </c>
      <c r="F199" s="7" t="s">
        <v>251</v>
      </c>
      <c r="G199" s="7" t="s">
        <v>1465</v>
      </c>
      <c r="H199" s="7" t="s">
        <v>1466</v>
      </c>
    </row>
    <row r="200" customFormat="false" ht="79.5" hidden="false" customHeight="true" outlineLevel="0" collapsed="false">
      <c r="A200" s="7" t="s">
        <v>38</v>
      </c>
      <c r="B200" s="7" t="s">
        <v>48</v>
      </c>
      <c r="C200" s="7" t="s">
        <v>1233</v>
      </c>
      <c r="D200" s="7" t="s">
        <v>126</v>
      </c>
      <c r="E200" s="7" t="s">
        <v>1104</v>
      </c>
      <c r="F200" s="7" t="s">
        <v>509</v>
      </c>
      <c r="G200" s="7" t="s">
        <v>872</v>
      </c>
      <c r="H200" s="7" t="s">
        <v>873</v>
      </c>
    </row>
    <row r="201" customFormat="false" ht="79.5" hidden="false" customHeight="true" outlineLevel="0" collapsed="false">
      <c r="A201" s="7" t="s">
        <v>38</v>
      </c>
      <c r="B201" s="7" t="s">
        <v>48</v>
      </c>
      <c r="C201" s="7" t="s">
        <v>1234</v>
      </c>
      <c r="D201" s="7" t="s">
        <v>1235</v>
      </c>
      <c r="E201" s="7" t="s">
        <v>1091</v>
      </c>
      <c r="F201" s="7" t="s">
        <v>890</v>
      </c>
      <c r="G201" s="7" t="s">
        <v>1467</v>
      </c>
      <c r="H201" s="7" t="s">
        <v>1468</v>
      </c>
    </row>
    <row r="202" customFormat="false" ht="79.5" hidden="false" customHeight="true" outlineLevel="0" collapsed="false">
      <c r="A202" s="7" t="s">
        <v>38</v>
      </c>
      <c r="B202" s="7" t="s">
        <v>48</v>
      </c>
      <c r="C202" s="7" t="s">
        <v>1238</v>
      </c>
      <c r="D202" s="7" t="s">
        <v>1239</v>
      </c>
      <c r="E202" s="7" t="s">
        <v>1104</v>
      </c>
      <c r="F202" s="7" t="s">
        <v>1292</v>
      </c>
      <c r="G202" s="7" t="s">
        <v>877</v>
      </c>
      <c r="H202" s="7" t="s">
        <v>878</v>
      </c>
    </row>
    <row r="203" customFormat="false" ht="79.5" hidden="false" customHeight="true" outlineLevel="0" collapsed="false">
      <c r="A203" s="7" t="s">
        <v>38</v>
      </c>
      <c r="B203" s="7" t="s">
        <v>48</v>
      </c>
      <c r="C203" s="7" t="s">
        <v>1240</v>
      </c>
      <c r="D203" s="7" t="s">
        <v>1241</v>
      </c>
      <c r="E203" s="7" t="s">
        <v>1104</v>
      </c>
      <c r="F203" s="7" t="s">
        <v>509</v>
      </c>
      <c r="G203" s="7" t="s">
        <v>883</v>
      </c>
      <c r="H203" s="7" t="s">
        <v>884</v>
      </c>
    </row>
    <row r="204" customFormat="false" ht="79.5" hidden="false" customHeight="true" outlineLevel="0" collapsed="false">
      <c r="A204" s="7" t="s">
        <v>38</v>
      </c>
      <c r="B204" s="7" t="s">
        <v>48</v>
      </c>
      <c r="C204" s="7" t="s">
        <v>1242</v>
      </c>
      <c r="D204" s="7" t="s">
        <v>1243</v>
      </c>
      <c r="E204" s="7" t="s">
        <v>1104</v>
      </c>
      <c r="F204" s="7" t="s">
        <v>251</v>
      </c>
      <c r="G204" s="7" t="s">
        <v>893</v>
      </c>
      <c r="H204" s="7" t="s">
        <v>894</v>
      </c>
    </row>
    <row r="205" customFormat="false" ht="79.5" hidden="false" customHeight="true" outlineLevel="0" collapsed="false">
      <c r="A205" s="7" t="s">
        <v>38</v>
      </c>
      <c r="B205" s="7" t="s">
        <v>51</v>
      </c>
      <c r="C205" s="7" t="s">
        <v>1244</v>
      </c>
      <c r="D205" s="7" t="s">
        <v>1245</v>
      </c>
      <c r="E205" s="7" t="s">
        <v>1091</v>
      </c>
      <c r="F205" s="7" t="s">
        <v>509</v>
      </c>
      <c r="G205" s="7" t="s">
        <v>1469</v>
      </c>
      <c r="H205" s="7" t="s">
        <v>1470</v>
      </c>
    </row>
    <row r="206" customFormat="false" ht="79.5" hidden="false" customHeight="true" outlineLevel="0" collapsed="false">
      <c r="A206" s="7" t="s">
        <v>38</v>
      </c>
      <c r="B206" s="7" t="s">
        <v>51</v>
      </c>
      <c r="C206" s="7" t="s">
        <v>1248</v>
      </c>
      <c r="D206" s="7" t="s">
        <v>1249</v>
      </c>
      <c r="E206" s="7" t="s">
        <v>1091</v>
      </c>
      <c r="F206" s="7" t="s">
        <v>1293</v>
      </c>
      <c r="G206" s="7" t="s">
        <v>1471</v>
      </c>
      <c r="H206" s="7" t="s">
        <v>1472</v>
      </c>
    </row>
    <row r="207" customFormat="false" ht="79.5" hidden="false" customHeight="true" outlineLevel="0" collapsed="false">
      <c r="A207" s="7" t="s">
        <v>38</v>
      </c>
      <c r="B207" s="7" t="s">
        <v>51</v>
      </c>
      <c r="C207" s="7" t="s">
        <v>1252</v>
      </c>
      <c r="D207" s="7" t="s">
        <v>1253</v>
      </c>
      <c r="E207" s="7" t="s">
        <v>1091</v>
      </c>
      <c r="F207" s="7" t="s">
        <v>705</v>
      </c>
      <c r="G207" s="7" t="s">
        <v>1473</v>
      </c>
      <c r="H207" s="7" t="s">
        <v>1474</v>
      </c>
    </row>
    <row r="208" customFormat="false" ht="79.5" hidden="false" customHeight="true" outlineLevel="0" collapsed="false">
      <c r="A208" s="7" t="s">
        <v>38</v>
      </c>
      <c r="B208" s="7" t="s">
        <v>51</v>
      </c>
      <c r="C208" s="7" t="s">
        <v>1256</v>
      </c>
      <c r="D208" s="7" t="s">
        <v>1257</v>
      </c>
      <c r="E208" s="7" t="s">
        <v>1104</v>
      </c>
      <c r="F208" s="7" t="s">
        <v>244</v>
      </c>
      <c r="G208" s="7" t="s">
        <v>905</v>
      </c>
      <c r="H208" s="7" t="s">
        <v>906</v>
      </c>
    </row>
    <row r="209" customFormat="false" ht="79.5" hidden="false" customHeight="true" outlineLevel="0" collapsed="false">
      <c r="A209" s="7" t="s">
        <v>38</v>
      </c>
      <c r="B209" s="7" t="s">
        <v>51</v>
      </c>
      <c r="C209" s="7" t="s">
        <v>1258</v>
      </c>
      <c r="D209" s="7" t="s">
        <v>1259</v>
      </c>
      <c r="E209" s="7" t="s">
        <v>1091</v>
      </c>
      <c r="F209" s="7" t="s">
        <v>1134</v>
      </c>
      <c r="G209" s="7" t="s">
        <v>1475</v>
      </c>
      <c r="H209" s="7" t="s">
        <v>1476</v>
      </c>
    </row>
    <row r="210" customFormat="false" ht="79.5" hidden="false" customHeight="true" outlineLevel="0" collapsed="false">
      <c r="A210" s="7" t="s">
        <v>38</v>
      </c>
      <c r="B210" s="7" t="s">
        <v>51</v>
      </c>
      <c r="C210" s="7" t="s">
        <v>1262</v>
      </c>
      <c r="D210" s="7" t="s">
        <v>1263</v>
      </c>
      <c r="E210" s="7" t="s">
        <v>1104</v>
      </c>
      <c r="F210" s="7" t="s">
        <v>1134</v>
      </c>
      <c r="G210" s="7" t="s">
        <v>914</v>
      </c>
      <c r="H210" s="7" t="s">
        <v>915</v>
      </c>
    </row>
    <row r="211" customFormat="false" ht="79.5" hidden="false" customHeight="true" outlineLevel="0" collapsed="false">
      <c r="A211" s="7" t="s">
        <v>38</v>
      </c>
      <c r="B211" s="7" t="s">
        <v>51</v>
      </c>
      <c r="C211" s="7" t="s">
        <v>1264</v>
      </c>
      <c r="D211" s="7" t="s">
        <v>1265</v>
      </c>
      <c r="E211" s="7" t="s">
        <v>1104</v>
      </c>
      <c r="F211" s="7" t="s">
        <v>1293</v>
      </c>
      <c r="G211" s="7" t="s">
        <v>924</v>
      </c>
      <c r="H211" s="7" t="s">
        <v>925</v>
      </c>
    </row>
    <row r="212" customFormat="false" ht="79.5" hidden="false" customHeight="true" outlineLevel="0" collapsed="false">
      <c r="A212" s="7" t="s">
        <v>38</v>
      </c>
      <c r="B212" s="7" t="s">
        <v>51</v>
      </c>
      <c r="C212" s="7" t="s">
        <v>1268</v>
      </c>
      <c r="D212" s="7" t="s">
        <v>1269</v>
      </c>
      <c r="E212" s="7" t="s">
        <v>1091</v>
      </c>
      <c r="F212" s="7" t="s">
        <v>1293</v>
      </c>
      <c r="G212" s="7" t="s">
        <v>1477</v>
      </c>
      <c r="H212" s="7" t="s">
        <v>1478</v>
      </c>
    </row>
    <row r="213" customFormat="false" ht="79.5" hidden="false" customHeight="true" outlineLevel="0" collapsed="false">
      <c r="A213" s="7" t="s">
        <v>38</v>
      </c>
      <c r="B213" s="7" t="s">
        <v>52</v>
      </c>
      <c r="C213" s="7" t="s">
        <v>1272</v>
      </c>
      <c r="D213" s="7" t="s">
        <v>1273</v>
      </c>
      <c r="E213" s="7" t="s">
        <v>1104</v>
      </c>
      <c r="F213" s="7" t="s">
        <v>251</v>
      </c>
      <c r="G213" s="7" t="s">
        <v>927</v>
      </c>
      <c r="H213" s="7" t="s">
        <v>928</v>
      </c>
    </row>
    <row r="214" customFormat="false" ht="79.5" hidden="false" customHeight="true" outlineLevel="0" collapsed="false">
      <c r="A214" s="7" t="s">
        <v>38</v>
      </c>
      <c r="B214" s="7" t="s">
        <v>52</v>
      </c>
      <c r="C214" s="7" t="s">
        <v>1276</v>
      </c>
      <c r="D214" s="7" t="s">
        <v>1277</v>
      </c>
      <c r="E214" s="7" t="s">
        <v>1091</v>
      </c>
      <c r="F214" s="7" t="s">
        <v>705</v>
      </c>
      <c r="G214" s="7" t="s">
        <v>1479</v>
      </c>
      <c r="H214" s="7" t="s">
        <v>1480</v>
      </c>
    </row>
    <row r="215" customFormat="false" ht="79.5" hidden="false" customHeight="true" outlineLevel="0" collapsed="false">
      <c r="A215" s="7" t="s">
        <v>38</v>
      </c>
      <c r="B215" s="7" t="s">
        <v>52</v>
      </c>
      <c r="C215" s="7" t="s">
        <v>1280</v>
      </c>
      <c r="D215" s="7" t="s">
        <v>1281</v>
      </c>
      <c r="E215" s="7" t="s">
        <v>1091</v>
      </c>
      <c r="F215" s="7" t="s">
        <v>497</v>
      </c>
      <c r="G215" s="7" t="s">
        <v>1481</v>
      </c>
      <c r="H215" s="7" t="s">
        <v>1482</v>
      </c>
    </row>
    <row r="216" customFormat="false" ht="79.5" hidden="false" customHeight="true" outlineLevel="0" collapsed="false">
      <c r="A216" s="7" t="s">
        <v>38</v>
      </c>
      <c r="B216" s="7" t="s">
        <v>52</v>
      </c>
      <c r="C216" s="7" t="s">
        <v>1284</v>
      </c>
      <c r="D216" s="7" t="s">
        <v>1285</v>
      </c>
      <c r="E216" s="7" t="s">
        <v>1091</v>
      </c>
      <c r="F216" s="7" t="s">
        <v>890</v>
      </c>
      <c r="G216" s="7" t="s">
        <v>1483</v>
      </c>
      <c r="H216" s="7" t="s">
        <v>1484</v>
      </c>
    </row>
    <row r="217" customFormat="false" ht="79.5" hidden="false" customHeight="true" outlineLevel="0" collapsed="false">
      <c r="A217" s="7" t="s">
        <v>38</v>
      </c>
      <c r="B217" s="7" t="s">
        <v>52</v>
      </c>
      <c r="C217" s="7" t="s">
        <v>1286</v>
      </c>
      <c r="D217" s="7" t="s">
        <v>1287</v>
      </c>
      <c r="E217" s="7" t="s">
        <v>1091</v>
      </c>
      <c r="F217" s="7" t="s">
        <v>486</v>
      </c>
      <c r="G217" s="7" t="s">
        <v>1485</v>
      </c>
      <c r="H217" s="7" t="s">
        <v>1486</v>
      </c>
    </row>
    <row r="218" customFormat="false" ht="79.5" hidden="false" customHeight="true" outlineLevel="0" collapsed="false">
      <c r="A218" s="7" t="s">
        <v>39</v>
      </c>
      <c r="B218" s="7" t="s">
        <v>44</v>
      </c>
      <c r="C218" s="7" t="s">
        <v>1102</v>
      </c>
      <c r="D218" s="7" t="s">
        <v>1103</v>
      </c>
      <c r="E218" s="7" t="s">
        <v>1091</v>
      </c>
      <c r="F218" s="7" t="s">
        <v>244</v>
      </c>
      <c r="G218" s="7" t="s">
        <v>1487</v>
      </c>
      <c r="H218" s="7" t="s">
        <v>1488</v>
      </c>
    </row>
    <row r="219" customFormat="false" ht="79.5" hidden="false" customHeight="true" outlineLevel="0" collapsed="false">
      <c r="A219" s="7" t="s">
        <v>39</v>
      </c>
      <c r="B219" s="7" t="s">
        <v>44</v>
      </c>
      <c r="C219" s="7" t="s">
        <v>1105</v>
      </c>
      <c r="D219" s="7" t="s">
        <v>1106</v>
      </c>
      <c r="E219" s="7" t="s">
        <v>1091</v>
      </c>
      <c r="F219" s="7" t="s">
        <v>297</v>
      </c>
      <c r="G219" s="7" t="s">
        <v>1489</v>
      </c>
      <c r="H219" s="7" t="s">
        <v>1490</v>
      </c>
    </row>
    <row r="220" customFormat="false" ht="79.5" hidden="false" customHeight="true" outlineLevel="0" collapsed="false">
      <c r="A220" s="7" t="s">
        <v>39</v>
      </c>
      <c r="B220" s="7" t="s">
        <v>44</v>
      </c>
      <c r="C220" s="7" t="s">
        <v>1109</v>
      </c>
      <c r="D220" s="7" t="s">
        <v>1110</v>
      </c>
      <c r="E220" s="7" t="s">
        <v>1104</v>
      </c>
      <c r="F220" s="7" t="s">
        <v>1166</v>
      </c>
      <c r="G220" s="7" t="s">
        <v>942</v>
      </c>
      <c r="H220" s="7" t="s">
        <v>943</v>
      </c>
    </row>
    <row r="221" customFormat="false" ht="79.5" hidden="false" customHeight="true" outlineLevel="0" collapsed="false">
      <c r="A221" s="7" t="s">
        <v>39</v>
      </c>
      <c r="B221" s="7" t="s">
        <v>44</v>
      </c>
      <c r="C221" s="7" t="s">
        <v>1111</v>
      </c>
      <c r="D221" s="7" t="s">
        <v>1112</v>
      </c>
      <c r="E221" s="7" t="s">
        <v>1104</v>
      </c>
      <c r="F221" s="7" t="s">
        <v>251</v>
      </c>
      <c r="G221" s="7" t="s">
        <v>947</v>
      </c>
      <c r="H221" s="7" t="s">
        <v>948</v>
      </c>
    </row>
    <row r="222" customFormat="false" ht="79.5" hidden="false" customHeight="true" outlineLevel="0" collapsed="false">
      <c r="A222" s="7" t="s">
        <v>39</v>
      </c>
      <c r="B222" s="7" t="s">
        <v>44</v>
      </c>
      <c r="C222" s="7" t="s">
        <v>1113</v>
      </c>
      <c r="D222" s="7" t="s">
        <v>1114</v>
      </c>
      <c r="E222" s="7" t="s">
        <v>1091</v>
      </c>
      <c r="F222" s="7" t="s">
        <v>705</v>
      </c>
      <c r="G222" s="7" t="s">
        <v>1491</v>
      </c>
      <c r="H222" s="7" t="s">
        <v>1492</v>
      </c>
    </row>
    <row r="223" customFormat="false" ht="79.5" hidden="false" customHeight="true" outlineLevel="0" collapsed="false">
      <c r="A223" s="7" t="s">
        <v>39</v>
      </c>
      <c r="B223" s="7" t="s">
        <v>45</v>
      </c>
      <c r="C223" s="7" t="s">
        <v>1118</v>
      </c>
      <c r="D223" s="7" t="s">
        <v>1119</v>
      </c>
      <c r="E223" s="7" t="s">
        <v>1091</v>
      </c>
      <c r="F223" s="7" t="s">
        <v>251</v>
      </c>
      <c r="G223" s="7" t="s">
        <v>1493</v>
      </c>
      <c r="H223" s="7" t="s">
        <v>1494</v>
      </c>
    </row>
    <row r="224" customFormat="false" ht="79.5" hidden="false" customHeight="true" outlineLevel="0" collapsed="false">
      <c r="A224" s="7" t="s">
        <v>39</v>
      </c>
      <c r="B224" s="7" t="s">
        <v>45</v>
      </c>
      <c r="C224" s="7" t="s">
        <v>1122</v>
      </c>
      <c r="D224" s="7" t="s">
        <v>1123</v>
      </c>
      <c r="E224" s="7" t="s">
        <v>1104</v>
      </c>
      <c r="F224" s="7" t="s">
        <v>251</v>
      </c>
      <c r="G224" s="7" t="s">
        <v>953</v>
      </c>
      <c r="H224" s="7" t="s">
        <v>954</v>
      </c>
    </row>
    <row r="225" customFormat="false" ht="79.5" hidden="false" customHeight="true" outlineLevel="0" collapsed="false">
      <c r="A225" s="7" t="s">
        <v>39</v>
      </c>
      <c r="B225" s="7" t="s">
        <v>45</v>
      </c>
      <c r="C225" s="7" t="s">
        <v>1126</v>
      </c>
      <c r="D225" s="7" t="s">
        <v>1127</v>
      </c>
      <c r="E225" s="7" t="s">
        <v>1104</v>
      </c>
      <c r="F225" s="7" t="s">
        <v>1293</v>
      </c>
      <c r="G225" s="7" t="s">
        <v>963</v>
      </c>
      <c r="H225" s="7" t="s">
        <v>964</v>
      </c>
    </row>
    <row r="226" customFormat="false" ht="79.5" hidden="false" customHeight="true" outlineLevel="0" collapsed="false">
      <c r="A226" s="7" t="s">
        <v>39</v>
      </c>
      <c r="B226" s="7" t="s">
        <v>45</v>
      </c>
      <c r="C226" s="7" t="s">
        <v>1130</v>
      </c>
      <c r="D226" s="7" t="s">
        <v>1131</v>
      </c>
      <c r="E226" s="7" t="s">
        <v>1091</v>
      </c>
      <c r="F226" s="7" t="s">
        <v>779</v>
      </c>
      <c r="G226" s="7" t="s">
        <v>1495</v>
      </c>
      <c r="H226" s="7" t="s">
        <v>1496</v>
      </c>
    </row>
    <row r="227" customFormat="false" ht="79.5" hidden="false" customHeight="true" outlineLevel="0" collapsed="false">
      <c r="A227" s="7" t="s">
        <v>39</v>
      </c>
      <c r="B227" s="7" t="s">
        <v>45</v>
      </c>
      <c r="C227" s="7" t="s">
        <v>1132</v>
      </c>
      <c r="D227" s="7" t="s">
        <v>1133</v>
      </c>
      <c r="E227" s="7" t="s">
        <v>1104</v>
      </c>
      <c r="F227" s="7" t="s">
        <v>1293</v>
      </c>
      <c r="G227" s="7" t="s">
        <v>968</v>
      </c>
      <c r="H227" s="7" t="s">
        <v>969</v>
      </c>
    </row>
    <row r="228" customFormat="false" ht="79.5" hidden="false" customHeight="true" outlineLevel="0" collapsed="false">
      <c r="A228" s="7" t="s">
        <v>39</v>
      </c>
      <c r="B228" s="7" t="s">
        <v>45</v>
      </c>
      <c r="C228" s="7" t="s">
        <v>1137</v>
      </c>
      <c r="D228" s="7" t="s">
        <v>1138</v>
      </c>
      <c r="E228" s="7" t="s">
        <v>1091</v>
      </c>
      <c r="F228" s="7" t="s">
        <v>497</v>
      </c>
      <c r="G228" s="7" t="s">
        <v>1497</v>
      </c>
      <c r="H228" s="7" t="s">
        <v>1498</v>
      </c>
    </row>
    <row r="229" customFormat="false" ht="79.5" hidden="false" customHeight="true" outlineLevel="0" collapsed="false">
      <c r="A229" s="7" t="s">
        <v>39</v>
      </c>
      <c r="B229" s="7" t="s">
        <v>45</v>
      </c>
      <c r="C229" s="7" t="s">
        <v>1139</v>
      </c>
      <c r="D229" s="7" t="s">
        <v>1140</v>
      </c>
      <c r="E229" s="7" t="s">
        <v>1104</v>
      </c>
      <c r="F229" s="7" t="s">
        <v>544</v>
      </c>
      <c r="G229" s="7" t="s">
        <v>977</v>
      </c>
      <c r="H229" s="7" t="s">
        <v>978</v>
      </c>
    </row>
    <row r="230" customFormat="false" ht="79.5" hidden="false" customHeight="true" outlineLevel="0" collapsed="false">
      <c r="A230" s="7" t="s">
        <v>39</v>
      </c>
      <c r="B230" s="7" t="s">
        <v>45</v>
      </c>
      <c r="C230" s="7" t="s">
        <v>1141</v>
      </c>
      <c r="D230" s="7" t="s">
        <v>1142</v>
      </c>
      <c r="E230" s="7" t="s">
        <v>1091</v>
      </c>
      <c r="F230" s="7" t="s">
        <v>251</v>
      </c>
      <c r="G230" s="7" t="s">
        <v>1499</v>
      </c>
      <c r="H230" s="7" t="s">
        <v>1500</v>
      </c>
    </row>
    <row r="231" customFormat="false" ht="79.5" hidden="false" customHeight="true" outlineLevel="0" collapsed="false">
      <c r="A231" s="7" t="s">
        <v>39</v>
      </c>
      <c r="B231" s="7" t="s">
        <v>45</v>
      </c>
      <c r="C231" s="7" t="s">
        <v>1145</v>
      </c>
      <c r="D231" s="7" t="s">
        <v>1146</v>
      </c>
      <c r="E231" s="7" t="s">
        <v>1091</v>
      </c>
      <c r="F231" s="7" t="s">
        <v>1501</v>
      </c>
      <c r="G231" s="7" t="s">
        <v>1502</v>
      </c>
      <c r="H231" s="7" t="s">
        <v>1503</v>
      </c>
    </row>
    <row r="232" customFormat="false" ht="79.5" hidden="false" customHeight="true" outlineLevel="0" collapsed="false">
      <c r="A232" s="7" t="s">
        <v>39</v>
      </c>
      <c r="B232" s="7" t="s">
        <v>45</v>
      </c>
      <c r="C232" s="7" t="s">
        <v>1147</v>
      </c>
      <c r="D232" s="7" t="s">
        <v>1148</v>
      </c>
      <c r="E232" s="7" t="s">
        <v>1091</v>
      </c>
      <c r="F232" s="7" t="s">
        <v>497</v>
      </c>
      <c r="G232" s="7" t="s">
        <v>1504</v>
      </c>
      <c r="H232" s="7" t="s">
        <v>1505</v>
      </c>
    </row>
    <row r="233" customFormat="false" ht="79.5" hidden="false" customHeight="true" outlineLevel="0" collapsed="false">
      <c r="A233" s="7" t="s">
        <v>39</v>
      </c>
      <c r="B233" s="7" t="s">
        <v>45</v>
      </c>
      <c r="C233" s="7" t="s">
        <v>1151</v>
      </c>
      <c r="D233" s="7" t="s">
        <v>1148</v>
      </c>
      <c r="E233" s="7" t="s">
        <v>1091</v>
      </c>
      <c r="F233" s="7" t="s">
        <v>705</v>
      </c>
      <c r="G233" s="7" t="s">
        <v>1506</v>
      </c>
      <c r="H233" s="7" t="s">
        <v>1507</v>
      </c>
    </row>
    <row r="234" customFormat="false" ht="79.5" hidden="false" customHeight="true" outlineLevel="0" collapsed="false">
      <c r="A234" s="7" t="s">
        <v>39</v>
      </c>
      <c r="B234" s="7" t="s">
        <v>46</v>
      </c>
      <c r="C234" s="7" t="s">
        <v>1155</v>
      </c>
      <c r="D234" s="7" t="s">
        <v>1156</v>
      </c>
      <c r="E234" s="7" t="s">
        <v>1104</v>
      </c>
      <c r="F234" s="7" t="s">
        <v>1335</v>
      </c>
      <c r="G234" s="7" t="s">
        <v>987</v>
      </c>
      <c r="H234" s="7" t="s">
        <v>988</v>
      </c>
    </row>
    <row r="235" customFormat="false" ht="79.5" hidden="false" customHeight="true" outlineLevel="0" collapsed="false">
      <c r="A235" s="7" t="s">
        <v>39</v>
      </c>
      <c r="B235" s="7" t="s">
        <v>46</v>
      </c>
      <c r="C235" s="7" t="s">
        <v>1159</v>
      </c>
      <c r="D235" s="7" t="s">
        <v>1160</v>
      </c>
      <c r="E235" s="7" t="s">
        <v>1091</v>
      </c>
      <c r="F235" s="7" t="s">
        <v>1508</v>
      </c>
      <c r="G235" s="7" t="s">
        <v>1509</v>
      </c>
      <c r="H235" s="7" t="s">
        <v>1510</v>
      </c>
    </row>
    <row r="236" customFormat="false" ht="79.5" hidden="false" customHeight="true" outlineLevel="0" collapsed="false">
      <c r="A236" s="7" t="s">
        <v>39</v>
      </c>
      <c r="B236" s="7" t="s">
        <v>46</v>
      </c>
      <c r="C236" s="7" t="s">
        <v>1164</v>
      </c>
      <c r="D236" s="7" t="s">
        <v>1165</v>
      </c>
      <c r="E236" s="7" t="s">
        <v>1091</v>
      </c>
      <c r="F236" s="7" t="s">
        <v>939</v>
      </c>
      <c r="G236" s="7" t="s">
        <v>1511</v>
      </c>
      <c r="H236" s="7" t="s">
        <v>1512</v>
      </c>
    </row>
    <row r="237" customFormat="false" ht="79.5" hidden="false" customHeight="true" outlineLevel="0" collapsed="false">
      <c r="A237" s="7" t="s">
        <v>39</v>
      </c>
      <c r="B237" s="7" t="s">
        <v>46</v>
      </c>
      <c r="C237" s="7" t="s">
        <v>1169</v>
      </c>
      <c r="D237" s="7" t="s">
        <v>1170</v>
      </c>
      <c r="E237" s="7" t="s">
        <v>1091</v>
      </c>
      <c r="F237" s="7" t="s">
        <v>1166</v>
      </c>
      <c r="G237" s="7" t="s">
        <v>1513</v>
      </c>
      <c r="H237" s="7" t="s">
        <v>1514</v>
      </c>
    </row>
    <row r="238" customFormat="false" ht="79.5" hidden="false" customHeight="true" outlineLevel="0" collapsed="false">
      <c r="A238" s="7" t="s">
        <v>39</v>
      </c>
      <c r="B238" s="7" t="s">
        <v>46</v>
      </c>
      <c r="C238" s="7" t="s">
        <v>1173</v>
      </c>
      <c r="D238" s="7" t="s">
        <v>1174</v>
      </c>
      <c r="E238" s="7" t="s">
        <v>1091</v>
      </c>
      <c r="F238" s="7" t="s">
        <v>244</v>
      </c>
      <c r="G238" s="7" t="s">
        <v>1515</v>
      </c>
      <c r="H238" s="7" t="s">
        <v>1516</v>
      </c>
    </row>
    <row r="239" customFormat="false" ht="79.5" hidden="false" customHeight="true" outlineLevel="0" collapsed="false">
      <c r="A239" s="7" t="s">
        <v>39</v>
      </c>
      <c r="B239" s="7" t="s">
        <v>46</v>
      </c>
      <c r="C239" s="7" t="s">
        <v>1177</v>
      </c>
      <c r="D239" s="7" t="s">
        <v>1178</v>
      </c>
      <c r="E239" s="7" t="s">
        <v>1104</v>
      </c>
      <c r="F239" s="7" t="s">
        <v>1296</v>
      </c>
      <c r="G239" s="7" t="s">
        <v>998</v>
      </c>
      <c r="H239" s="7" t="s">
        <v>999</v>
      </c>
    </row>
    <row r="240" customFormat="false" ht="79.5" hidden="false" customHeight="true" outlineLevel="0" collapsed="false">
      <c r="A240" s="7" t="s">
        <v>39</v>
      </c>
      <c r="B240" s="7" t="s">
        <v>46</v>
      </c>
      <c r="C240" s="7" t="s">
        <v>1181</v>
      </c>
      <c r="D240" s="7" t="s">
        <v>1182</v>
      </c>
      <c r="E240" s="7" t="s">
        <v>1091</v>
      </c>
      <c r="F240" s="7" t="s">
        <v>1134</v>
      </c>
      <c r="G240" s="7" t="s">
        <v>1517</v>
      </c>
      <c r="H240" s="7" t="s">
        <v>1518</v>
      </c>
    </row>
    <row r="241" customFormat="false" ht="79.5" hidden="false" customHeight="true" outlineLevel="0" collapsed="false">
      <c r="A241" s="7" t="s">
        <v>39</v>
      </c>
      <c r="B241" s="7" t="s">
        <v>46</v>
      </c>
      <c r="C241" s="7" t="s">
        <v>1185</v>
      </c>
      <c r="D241" s="7" t="s">
        <v>1186</v>
      </c>
      <c r="E241" s="7" t="s">
        <v>1091</v>
      </c>
      <c r="F241" s="7" t="s">
        <v>486</v>
      </c>
      <c r="G241" s="7" t="s">
        <v>1519</v>
      </c>
      <c r="H241" s="7" t="s">
        <v>1520</v>
      </c>
    </row>
    <row r="242" customFormat="false" ht="79.5" hidden="false" customHeight="true" outlineLevel="0" collapsed="false">
      <c r="A242" s="7" t="s">
        <v>39</v>
      </c>
      <c r="B242" s="7" t="s">
        <v>46</v>
      </c>
      <c r="C242" s="7" t="s">
        <v>1189</v>
      </c>
      <c r="D242" s="7" t="s">
        <v>1190</v>
      </c>
      <c r="E242" s="7" t="s">
        <v>1091</v>
      </c>
      <c r="F242" s="7" t="s">
        <v>497</v>
      </c>
      <c r="G242" s="7" t="s">
        <v>1521</v>
      </c>
      <c r="H242" s="7" t="s">
        <v>1522</v>
      </c>
    </row>
    <row r="243" customFormat="false" ht="79.5" hidden="false" customHeight="true" outlineLevel="0" collapsed="false">
      <c r="A243" s="7" t="s">
        <v>39</v>
      </c>
      <c r="B243" s="7" t="s">
        <v>46</v>
      </c>
      <c r="C243" s="7" t="s">
        <v>1193</v>
      </c>
      <c r="D243" s="7" t="s">
        <v>1194</v>
      </c>
      <c r="E243" s="7" t="s">
        <v>1091</v>
      </c>
      <c r="F243" s="7" t="s">
        <v>251</v>
      </c>
      <c r="G243" s="7" t="s">
        <v>1523</v>
      </c>
      <c r="H243" s="7" t="s">
        <v>1524</v>
      </c>
    </row>
    <row r="244" customFormat="false" ht="79.5" hidden="false" customHeight="true" outlineLevel="0" collapsed="false">
      <c r="A244" s="7" t="s">
        <v>39</v>
      </c>
      <c r="B244" s="7" t="s">
        <v>46</v>
      </c>
      <c r="C244" s="7" t="s">
        <v>1197</v>
      </c>
      <c r="D244" s="7" t="s">
        <v>1198</v>
      </c>
      <c r="E244" s="7" t="s">
        <v>1104</v>
      </c>
      <c r="F244" s="7" t="s">
        <v>237</v>
      </c>
      <c r="G244" s="7" t="s">
        <v>1013</v>
      </c>
      <c r="H244" s="7" t="s">
        <v>1014</v>
      </c>
    </row>
    <row r="245" customFormat="false" ht="79.5" hidden="false" customHeight="true" outlineLevel="0" collapsed="false">
      <c r="A245" s="7" t="s">
        <v>39</v>
      </c>
      <c r="B245" s="7" t="s">
        <v>47</v>
      </c>
      <c r="C245" s="7" t="s">
        <v>1201</v>
      </c>
      <c r="D245" s="7" t="s">
        <v>1202</v>
      </c>
      <c r="E245" s="7" t="s">
        <v>1091</v>
      </c>
      <c r="F245" s="7" t="s">
        <v>890</v>
      </c>
      <c r="G245" s="7" t="s">
        <v>1525</v>
      </c>
      <c r="H245" s="7" t="s">
        <v>1526</v>
      </c>
    </row>
    <row r="246" customFormat="false" ht="79.5" hidden="false" customHeight="true" outlineLevel="0" collapsed="false">
      <c r="A246" s="7" t="s">
        <v>39</v>
      </c>
      <c r="B246" s="7" t="s">
        <v>47</v>
      </c>
      <c r="C246" s="7" t="s">
        <v>1205</v>
      </c>
      <c r="D246" s="7" t="s">
        <v>1206</v>
      </c>
      <c r="E246" s="7" t="s">
        <v>1104</v>
      </c>
      <c r="F246" s="7" t="s">
        <v>509</v>
      </c>
      <c r="G246" s="7" t="s">
        <v>1021</v>
      </c>
      <c r="H246" s="7" t="s">
        <v>1022</v>
      </c>
    </row>
    <row r="247" customFormat="false" ht="79.5" hidden="false" customHeight="true" outlineLevel="0" collapsed="false">
      <c r="A247" s="7" t="s">
        <v>39</v>
      </c>
      <c r="B247" s="7" t="s">
        <v>47</v>
      </c>
      <c r="C247" s="7" t="s">
        <v>1209</v>
      </c>
      <c r="D247" s="7" t="s">
        <v>1210</v>
      </c>
      <c r="E247" s="7" t="s">
        <v>1091</v>
      </c>
      <c r="F247" s="7" t="s">
        <v>890</v>
      </c>
      <c r="G247" s="7" t="s">
        <v>1527</v>
      </c>
      <c r="H247" s="7" t="s">
        <v>1528</v>
      </c>
    </row>
    <row r="248" customFormat="false" ht="79.5" hidden="false" customHeight="true" outlineLevel="0" collapsed="false">
      <c r="A248" s="7" t="s">
        <v>39</v>
      </c>
      <c r="B248" s="7" t="s">
        <v>47</v>
      </c>
      <c r="C248" s="7" t="s">
        <v>1213</v>
      </c>
      <c r="D248" s="7" t="s">
        <v>1214</v>
      </c>
      <c r="E248" s="7" t="s">
        <v>1104</v>
      </c>
      <c r="F248" s="7" t="s">
        <v>251</v>
      </c>
      <c r="G248" s="7" t="s">
        <v>1027</v>
      </c>
      <c r="H248" s="7" t="s">
        <v>1028</v>
      </c>
    </row>
    <row r="249" customFormat="false" ht="79.5" hidden="false" customHeight="true" outlineLevel="0" collapsed="false">
      <c r="A249" s="7" t="s">
        <v>39</v>
      </c>
      <c r="B249" s="7" t="s">
        <v>47</v>
      </c>
      <c r="C249" s="7" t="s">
        <v>1217</v>
      </c>
      <c r="D249" s="7" t="s">
        <v>1218</v>
      </c>
      <c r="E249" s="7" t="s">
        <v>1091</v>
      </c>
      <c r="F249" s="7" t="s">
        <v>521</v>
      </c>
      <c r="G249" s="7" t="s">
        <v>1529</v>
      </c>
      <c r="H249" s="7" t="s">
        <v>1530</v>
      </c>
    </row>
    <row r="250" customFormat="false" ht="79.5" hidden="false" customHeight="true" outlineLevel="0" collapsed="false">
      <c r="A250" s="7" t="s">
        <v>39</v>
      </c>
      <c r="B250" s="7" t="s">
        <v>48</v>
      </c>
      <c r="C250" s="7" t="s">
        <v>1221</v>
      </c>
      <c r="D250" s="7" t="s">
        <v>1222</v>
      </c>
      <c r="E250" s="7" t="s">
        <v>1091</v>
      </c>
      <c r="F250" s="7" t="s">
        <v>237</v>
      </c>
      <c r="G250" s="7" t="s">
        <v>1531</v>
      </c>
      <c r="H250" s="7" t="s">
        <v>1532</v>
      </c>
    </row>
    <row r="251" customFormat="false" ht="79.5" hidden="false" customHeight="true" outlineLevel="0" collapsed="false">
      <c r="A251" s="7" t="s">
        <v>39</v>
      </c>
      <c r="B251" s="7" t="s">
        <v>48</v>
      </c>
      <c r="C251" s="7" t="s">
        <v>1225</v>
      </c>
      <c r="D251" s="7" t="s">
        <v>1226</v>
      </c>
      <c r="E251" s="7" t="s">
        <v>1091</v>
      </c>
      <c r="F251" s="7" t="s">
        <v>705</v>
      </c>
      <c r="G251" s="7" t="s">
        <v>1533</v>
      </c>
      <c r="H251" s="7" t="s">
        <v>1534</v>
      </c>
    </row>
    <row r="252" customFormat="false" ht="79.5" hidden="false" customHeight="true" outlineLevel="0" collapsed="false">
      <c r="A252" s="7" t="s">
        <v>39</v>
      </c>
      <c r="B252" s="7" t="s">
        <v>48</v>
      </c>
      <c r="C252" s="7" t="s">
        <v>1227</v>
      </c>
      <c r="D252" s="7" t="s">
        <v>1228</v>
      </c>
      <c r="E252" s="7" t="s">
        <v>1104</v>
      </c>
      <c r="F252" s="7" t="s">
        <v>251</v>
      </c>
      <c r="G252" s="7" t="s">
        <v>1036</v>
      </c>
      <c r="H252" s="7" t="s">
        <v>1037</v>
      </c>
    </row>
    <row r="253" customFormat="false" ht="79.5" hidden="false" customHeight="true" outlineLevel="0" collapsed="false">
      <c r="A253" s="7" t="s">
        <v>39</v>
      </c>
      <c r="B253" s="7" t="s">
        <v>48</v>
      </c>
      <c r="C253" s="7" t="s">
        <v>1229</v>
      </c>
      <c r="D253" s="7" t="s">
        <v>1230</v>
      </c>
      <c r="E253" s="7" t="s">
        <v>1091</v>
      </c>
      <c r="F253" s="7" t="s">
        <v>693</v>
      </c>
      <c r="G253" s="7" t="s">
        <v>1535</v>
      </c>
      <c r="H253" s="7" t="s">
        <v>1536</v>
      </c>
    </row>
    <row r="254" customFormat="false" ht="79.5" hidden="false" customHeight="true" outlineLevel="0" collapsed="false">
      <c r="A254" s="7" t="s">
        <v>39</v>
      </c>
      <c r="B254" s="7" t="s">
        <v>48</v>
      </c>
      <c r="C254" s="7" t="s">
        <v>1233</v>
      </c>
      <c r="D254" s="7" t="s">
        <v>126</v>
      </c>
      <c r="E254" s="7" t="s">
        <v>1104</v>
      </c>
      <c r="F254" s="7" t="s">
        <v>686</v>
      </c>
      <c r="G254" s="7" t="s">
        <v>1042</v>
      </c>
      <c r="H254" s="7" t="s">
        <v>1043</v>
      </c>
    </row>
    <row r="255" customFormat="false" ht="79.5" hidden="false" customHeight="true" outlineLevel="0" collapsed="false">
      <c r="A255" s="7" t="s">
        <v>39</v>
      </c>
      <c r="B255" s="7" t="s">
        <v>48</v>
      </c>
      <c r="C255" s="7" t="s">
        <v>1234</v>
      </c>
      <c r="D255" s="7" t="s">
        <v>1235</v>
      </c>
      <c r="E255" s="7" t="s">
        <v>1091</v>
      </c>
      <c r="F255" s="7" t="s">
        <v>509</v>
      </c>
      <c r="G255" s="7" t="s">
        <v>1537</v>
      </c>
      <c r="H255" s="7" t="s">
        <v>1538</v>
      </c>
    </row>
    <row r="256" customFormat="false" ht="79.5" hidden="false" customHeight="true" outlineLevel="0" collapsed="false">
      <c r="A256" s="7" t="s">
        <v>39</v>
      </c>
      <c r="B256" s="7" t="s">
        <v>48</v>
      </c>
      <c r="C256" s="7" t="s">
        <v>1238</v>
      </c>
      <c r="D256" s="7" t="s">
        <v>1239</v>
      </c>
      <c r="E256" s="7" t="s">
        <v>1091</v>
      </c>
      <c r="F256" s="7" t="s">
        <v>1539</v>
      </c>
      <c r="G256" s="7" t="s">
        <v>1540</v>
      </c>
      <c r="H256" s="7" t="s">
        <v>1541</v>
      </c>
    </row>
    <row r="257" customFormat="false" ht="79.5" hidden="false" customHeight="true" outlineLevel="0" collapsed="false">
      <c r="A257" s="7" t="s">
        <v>39</v>
      </c>
      <c r="B257" s="7" t="s">
        <v>48</v>
      </c>
      <c r="C257" s="7" t="s">
        <v>1240</v>
      </c>
      <c r="D257" s="7" t="s">
        <v>1241</v>
      </c>
      <c r="E257" s="7" t="s">
        <v>1104</v>
      </c>
      <c r="F257" s="7" t="s">
        <v>251</v>
      </c>
      <c r="G257" s="7" t="s">
        <v>1046</v>
      </c>
      <c r="H257" s="7" t="s">
        <v>1047</v>
      </c>
    </row>
    <row r="258" customFormat="false" ht="79.5" hidden="false" customHeight="true" outlineLevel="0" collapsed="false">
      <c r="A258" s="7" t="s">
        <v>39</v>
      </c>
      <c r="B258" s="7" t="s">
        <v>48</v>
      </c>
      <c r="C258" s="7" t="s">
        <v>1242</v>
      </c>
      <c r="D258" s="7" t="s">
        <v>1243</v>
      </c>
      <c r="E258" s="7" t="s">
        <v>1104</v>
      </c>
      <c r="F258" s="7" t="s">
        <v>1542</v>
      </c>
      <c r="G258" s="7" t="s">
        <v>1054</v>
      </c>
      <c r="H258" s="7" t="s">
        <v>1055</v>
      </c>
    </row>
    <row r="259" customFormat="false" ht="79.5" hidden="false" customHeight="true" outlineLevel="0" collapsed="false">
      <c r="A259" s="7" t="s">
        <v>39</v>
      </c>
      <c r="B259" s="7" t="s">
        <v>51</v>
      </c>
      <c r="C259" s="7" t="s">
        <v>1244</v>
      </c>
      <c r="D259" s="7" t="s">
        <v>1245</v>
      </c>
      <c r="E259" s="7" t="s">
        <v>1091</v>
      </c>
      <c r="F259" s="7" t="s">
        <v>1543</v>
      </c>
      <c r="G259" s="7" t="s">
        <v>1544</v>
      </c>
      <c r="H259" s="7" t="s">
        <v>1545</v>
      </c>
    </row>
    <row r="260" customFormat="false" ht="79.5" hidden="false" customHeight="true" outlineLevel="0" collapsed="false">
      <c r="A260" s="7" t="s">
        <v>39</v>
      </c>
      <c r="B260" s="7" t="s">
        <v>51</v>
      </c>
      <c r="C260" s="7" t="s">
        <v>1248</v>
      </c>
      <c r="D260" s="7" t="s">
        <v>1249</v>
      </c>
      <c r="E260" s="7" t="s">
        <v>1104</v>
      </c>
      <c r="F260" s="7" t="s">
        <v>890</v>
      </c>
      <c r="G260" s="7" t="s">
        <v>1063</v>
      </c>
      <c r="H260" s="7" t="s">
        <v>1064</v>
      </c>
    </row>
    <row r="261" customFormat="false" ht="79.5" hidden="false" customHeight="true" outlineLevel="0" collapsed="false">
      <c r="A261" s="7" t="s">
        <v>39</v>
      </c>
      <c r="B261" s="7" t="s">
        <v>51</v>
      </c>
      <c r="C261" s="7" t="s">
        <v>1252</v>
      </c>
      <c r="D261" s="7" t="s">
        <v>1253</v>
      </c>
      <c r="E261" s="7" t="s">
        <v>1091</v>
      </c>
      <c r="F261" s="7" t="s">
        <v>244</v>
      </c>
      <c r="G261" s="7" t="s">
        <v>1546</v>
      </c>
      <c r="H261" s="7" t="s">
        <v>1547</v>
      </c>
    </row>
    <row r="262" customFormat="false" ht="79.5" hidden="false" customHeight="true" outlineLevel="0" collapsed="false">
      <c r="A262" s="7" t="s">
        <v>39</v>
      </c>
      <c r="B262" s="7" t="s">
        <v>51</v>
      </c>
      <c r="C262" s="7" t="s">
        <v>1256</v>
      </c>
      <c r="D262" s="7" t="s">
        <v>1257</v>
      </c>
      <c r="E262" s="7" t="s">
        <v>1104</v>
      </c>
      <c r="F262" s="7" t="s">
        <v>1152</v>
      </c>
      <c r="G262" s="7" t="s">
        <v>1073</v>
      </c>
      <c r="H262" s="7" t="s">
        <v>1074</v>
      </c>
    </row>
    <row r="263" customFormat="false" ht="79.5" hidden="false" customHeight="true" outlineLevel="0" collapsed="false">
      <c r="A263" s="7" t="s">
        <v>39</v>
      </c>
      <c r="B263" s="7" t="s">
        <v>51</v>
      </c>
      <c r="C263" s="7" t="s">
        <v>1258</v>
      </c>
      <c r="D263" s="7" t="s">
        <v>1259</v>
      </c>
      <c r="E263" s="7" t="s">
        <v>1091</v>
      </c>
      <c r="F263" s="7" t="s">
        <v>497</v>
      </c>
      <c r="G263" s="7" t="s">
        <v>1548</v>
      </c>
      <c r="H263" s="7" t="s">
        <v>1549</v>
      </c>
    </row>
    <row r="264" customFormat="false" ht="79.5" hidden="false" customHeight="true" outlineLevel="0" collapsed="false">
      <c r="A264" s="7" t="s">
        <v>39</v>
      </c>
      <c r="B264" s="7" t="s">
        <v>51</v>
      </c>
      <c r="C264" s="7" t="s">
        <v>1262</v>
      </c>
      <c r="D264" s="7" t="s">
        <v>1263</v>
      </c>
      <c r="E264" s="7" t="s">
        <v>1104</v>
      </c>
      <c r="F264" s="7" t="s">
        <v>486</v>
      </c>
      <c r="G264" s="7" t="s">
        <v>1083</v>
      </c>
      <c r="H264" s="7" t="s">
        <v>1084</v>
      </c>
    </row>
    <row r="265" customFormat="false" ht="79.5" hidden="false" customHeight="true" outlineLevel="0" collapsed="false">
      <c r="A265" s="7" t="s">
        <v>39</v>
      </c>
      <c r="B265" s="7" t="s">
        <v>51</v>
      </c>
      <c r="C265" s="7" t="s">
        <v>1264</v>
      </c>
      <c r="D265" s="7" t="s">
        <v>1265</v>
      </c>
      <c r="E265" s="7" t="s">
        <v>1091</v>
      </c>
      <c r="F265" s="7" t="s">
        <v>544</v>
      </c>
      <c r="G265" s="7" t="s">
        <v>1550</v>
      </c>
      <c r="H265" s="7" t="s">
        <v>1551</v>
      </c>
    </row>
    <row r="266" customFormat="false" ht="79.5" hidden="false" customHeight="true" outlineLevel="0" collapsed="false">
      <c r="A266" s="7" t="s">
        <v>39</v>
      </c>
      <c r="B266" s="7" t="s">
        <v>51</v>
      </c>
      <c r="C266" s="7" t="s">
        <v>1268</v>
      </c>
      <c r="D266" s="7" t="s">
        <v>1269</v>
      </c>
      <c r="E266" s="7" t="s">
        <v>1091</v>
      </c>
      <c r="F266" s="7" t="s">
        <v>509</v>
      </c>
      <c r="G266" s="7" t="s">
        <v>1552</v>
      </c>
      <c r="H266" s="7" t="s">
        <v>1553</v>
      </c>
    </row>
    <row r="267" customFormat="false" ht="79.5" hidden="false" customHeight="true" outlineLevel="0" collapsed="false">
      <c r="A267" s="7" t="s">
        <v>39</v>
      </c>
      <c r="B267" s="7" t="s">
        <v>52</v>
      </c>
      <c r="C267" s="7" t="s">
        <v>1272</v>
      </c>
      <c r="D267" s="7" t="s">
        <v>1273</v>
      </c>
      <c r="E267" s="7" t="s">
        <v>1091</v>
      </c>
      <c r="F267" s="7" t="s">
        <v>251</v>
      </c>
      <c r="G267" s="7" t="s">
        <v>1554</v>
      </c>
      <c r="H267" s="7" t="s">
        <v>1555</v>
      </c>
    </row>
    <row r="268" customFormat="false" ht="79.5" hidden="false" customHeight="true" outlineLevel="0" collapsed="false">
      <c r="A268" s="7" t="s">
        <v>39</v>
      </c>
      <c r="B268" s="7" t="s">
        <v>52</v>
      </c>
      <c r="C268" s="7" t="s">
        <v>1276</v>
      </c>
      <c r="D268" s="7" t="s">
        <v>1277</v>
      </c>
      <c r="E268" s="7" t="s">
        <v>1091</v>
      </c>
      <c r="F268" s="7" t="s">
        <v>686</v>
      </c>
      <c r="G268" s="7" t="s">
        <v>1556</v>
      </c>
      <c r="H268" s="7" t="s">
        <v>1557</v>
      </c>
    </row>
    <row r="269" customFormat="false" ht="79.5" hidden="false" customHeight="true" outlineLevel="0" collapsed="false">
      <c r="A269" s="7" t="s">
        <v>39</v>
      </c>
      <c r="B269" s="7" t="s">
        <v>52</v>
      </c>
      <c r="C269" s="7" t="s">
        <v>1280</v>
      </c>
      <c r="D269" s="7" t="s">
        <v>1281</v>
      </c>
      <c r="E269" s="7" t="s">
        <v>1091</v>
      </c>
      <c r="F269" s="7" t="s">
        <v>1558</v>
      </c>
      <c r="G269" s="7" t="s">
        <v>1559</v>
      </c>
      <c r="H269" s="7" t="s">
        <v>1560</v>
      </c>
    </row>
    <row r="270" customFormat="false" ht="79.5" hidden="false" customHeight="true" outlineLevel="0" collapsed="false">
      <c r="A270" s="7" t="s">
        <v>39</v>
      </c>
      <c r="B270" s="7" t="s">
        <v>52</v>
      </c>
      <c r="C270" s="7" t="s">
        <v>1284</v>
      </c>
      <c r="D270" s="7" t="s">
        <v>1285</v>
      </c>
      <c r="E270" s="7" t="s">
        <v>1104</v>
      </c>
      <c r="F270" s="7" t="s">
        <v>1076</v>
      </c>
      <c r="G270" s="7" t="s">
        <v>1092</v>
      </c>
      <c r="H270" s="7" t="s">
        <v>1093</v>
      </c>
    </row>
    <row r="271" customFormat="false" ht="79.5" hidden="false" customHeight="true" outlineLevel="0" collapsed="false">
      <c r="A271" s="7" t="s">
        <v>39</v>
      </c>
      <c r="B271" s="7" t="s">
        <v>52</v>
      </c>
      <c r="C271" s="7" t="s">
        <v>1286</v>
      </c>
      <c r="D271" s="7" t="s">
        <v>1287</v>
      </c>
      <c r="E271" s="7" t="s">
        <v>1104</v>
      </c>
      <c r="F271" s="7" t="s">
        <v>705</v>
      </c>
      <c r="G271" s="7" t="s">
        <v>1096</v>
      </c>
      <c r="H271" s="7" t="s">
        <v>1097</v>
      </c>
    </row>
  </sheetData>
  <autoFilter ref="A1:H2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9"/>
    <col collapsed="false" customWidth="true" hidden="false" outlineLevel="0" max="4" min="4" style="0" width="20"/>
    <col collapsed="false" customWidth="true" hidden="false" outlineLevel="0" max="5" min="5" style="0" width="5"/>
    <col collapsed="false" customWidth="true" hidden="false" outlineLevel="0" max="6" min="6" style="0" width="28"/>
    <col collapsed="false" customWidth="true" hidden="false" outlineLevel="0" max="7" min="7" style="0" width="22"/>
    <col collapsed="false" customWidth="true" hidden="false" outlineLevel="0" max="8" min="8" style="0" width="8"/>
    <col collapsed="false" customWidth="true" hidden="false" outlineLevel="0" max="9" min="9" style="0" width="40"/>
    <col collapsed="false" customWidth="true" hidden="false" outlineLevel="0" max="10" min="10" style="0" width="16"/>
    <col collapsed="false" customWidth="true" hidden="false" outlineLevel="0" max="11" min="11" style="0" width="5"/>
    <col collapsed="false" customWidth="true" hidden="false" outlineLevel="0" max="12" min="12" style="0" width="28"/>
    <col collapsed="false" customWidth="true" hidden="false" outlineLevel="0" max="13" min="13" style="0" width="22"/>
    <col collapsed="false" customWidth="true" hidden="false" outlineLevel="0" max="14" min="14" style="0" width="8"/>
    <col collapsed="false" customWidth="true" hidden="false" outlineLevel="0" max="15" min="15" style="0" width="40"/>
    <col collapsed="false" customWidth="true" hidden="false" outlineLevel="0" max="17" min="16" style="0" width="16"/>
    <col collapsed="false" customWidth="true" hidden="false" outlineLevel="0" max="18" min="18" style="0" width="30"/>
  </cols>
  <sheetData>
    <row r="1" customFormat="false" ht="39.55" hidden="false" customHeight="false" outlineLevel="0" collapsed="false">
      <c r="A1" s="6" t="s">
        <v>22</v>
      </c>
      <c r="B1" s="6" t="s">
        <v>177</v>
      </c>
      <c r="C1" s="6" t="s">
        <v>1561</v>
      </c>
      <c r="D1" s="6" t="s">
        <v>1562</v>
      </c>
      <c r="E1" s="6" t="s">
        <v>1563</v>
      </c>
      <c r="F1" s="6" t="s">
        <v>1564</v>
      </c>
      <c r="G1" s="6" t="s">
        <v>171</v>
      </c>
      <c r="H1" s="6" t="s">
        <v>1565</v>
      </c>
      <c r="I1" s="6" t="s">
        <v>1566</v>
      </c>
      <c r="J1" s="6" t="s">
        <v>1567</v>
      </c>
      <c r="K1" s="6" t="s">
        <v>1568</v>
      </c>
      <c r="L1" s="6" t="s">
        <v>1569</v>
      </c>
      <c r="M1" s="6" t="s">
        <v>172</v>
      </c>
      <c r="N1" s="6" t="s">
        <v>1570</v>
      </c>
      <c r="O1" s="6" t="s">
        <v>1571</v>
      </c>
      <c r="P1" s="6" t="s">
        <v>1572</v>
      </c>
      <c r="Q1" s="6" t="s">
        <v>1573</v>
      </c>
      <c r="R1" s="6" t="s">
        <v>1574</v>
      </c>
    </row>
    <row r="2" customFormat="false" ht="60" hidden="false" customHeight="true" outlineLevel="0" collapsed="false">
      <c r="A2" s="7" t="s">
        <v>35</v>
      </c>
      <c r="B2" s="12" t="s">
        <v>1575</v>
      </c>
      <c r="C2" s="7"/>
      <c r="D2" s="7"/>
      <c r="E2" s="7" t="s">
        <v>232</v>
      </c>
      <c r="F2" s="7" t="s">
        <v>1576</v>
      </c>
      <c r="G2" s="7" t="s">
        <v>1577</v>
      </c>
      <c r="H2" s="7" t="s">
        <v>1578</v>
      </c>
      <c r="I2" s="7" t="s">
        <v>1579</v>
      </c>
      <c r="J2" s="7" t="s">
        <v>1580</v>
      </c>
      <c r="K2" s="7"/>
      <c r="L2" s="7"/>
      <c r="M2" s="7"/>
      <c r="N2" s="7"/>
      <c r="O2" s="7"/>
      <c r="P2" s="7"/>
      <c r="Q2" s="13"/>
      <c r="R2" s="13"/>
    </row>
    <row r="3" customFormat="false" ht="60" hidden="false" customHeight="true" outlineLevel="0" collapsed="false">
      <c r="A3" s="7" t="s">
        <v>35</v>
      </c>
      <c r="B3" s="12" t="s">
        <v>1575</v>
      </c>
      <c r="C3" s="7"/>
      <c r="D3" s="7"/>
      <c r="E3" s="7" t="s">
        <v>1581</v>
      </c>
      <c r="F3" s="7" t="s">
        <v>1582</v>
      </c>
      <c r="G3" s="7" t="s">
        <v>1583</v>
      </c>
      <c r="H3" s="7" t="s">
        <v>1578</v>
      </c>
      <c r="I3" s="7" t="s">
        <v>1584</v>
      </c>
      <c r="J3" s="7" t="s">
        <v>1580</v>
      </c>
      <c r="K3" s="7"/>
      <c r="L3" s="7"/>
      <c r="M3" s="7"/>
      <c r="N3" s="7"/>
      <c r="O3" s="7"/>
      <c r="P3" s="7"/>
      <c r="Q3" s="13"/>
      <c r="R3" s="13"/>
    </row>
    <row r="4" customFormat="false" ht="60" hidden="false" customHeight="true" outlineLevel="0" collapsed="false">
      <c r="A4" s="7" t="s">
        <v>35</v>
      </c>
      <c r="B4" s="12" t="s">
        <v>1575</v>
      </c>
      <c r="C4" s="7"/>
      <c r="D4" s="7"/>
      <c r="E4" s="7" t="s">
        <v>1041</v>
      </c>
      <c r="F4" s="7" t="s">
        <v>1585</v>
      </c>
      <c r="G4" s="7" t="s">
        <v>1586</v>
      </c>
      <c r="H4" s="7" t="s">
        <v>1578</v>
      </c>
      <c r="I4" s="7" t="s">
        <v>1587</v>
      </c>
      <c r="J4" s="7" t="s">
        <v>1580</v>
      </c>
      <c r="K4" s="7"/>
      <c r="L4" s="7"/>
      <c r="M4" s="7"/>
      <c r="N4" s="7"/>
      <c r="O4" s="7"/>
      <c r="P4" s="7"/>
      <c r="Q4" s="13"/>
      <c r="R4" s="13"/>
    </row>
    <row r="5" customFormat="false" ht="60" hidden="false" customHeight="true" outlineLevel="0" collapsed="false">
      <c r="A5" s="7" t="s">
        <v>35</v>
      </c>
      <c r="B5" s="12" t="s">
        <v>1575</v>
      </c>
      <c r="C5" s="7"/>
      <c r="D5" s="7"/>
      <c r="E5" s="7" t="s">
        <v>1040</v>
      </c>
      <c r="F5" s="7" t="s">
        <v>1588</v>
      </c>
      <c r="G5" s="7" t="s">
        <v>1589</v>
      </c>
      <c r="H5" s="7" t="s">
        <v>1590</v>
      </c>
      <c r="I5" s="7" t="s">
        <v>1591</v>
      </c>
      <c r="J5" s="7" t="s">
        <v>1592</v>
      </c>
      <c r="K5" s="7"/>
      <c r="L5" s="7"/>
      <c r="M5" s="7"/>
      <c r="N5" s="7"/>
      <c r="O5" s="7"/>
      <c r="P5" s="7"/>
      <c r="Q5" s="13"/>
      <c r="R5" s="13"/>
    </row>
    <row r="6" customFormat="false" ht="60" hidden="false" customHeight="true" outlineLevel="0" collapsed="false">
      <c r="A6" s="7" t="s">
        <v>35</v>
      </c>
      <c r="B6" s="12" t="s">
        <v>1575</v>
      </c>
      <c r="C6" s="7"/>
      <c r="D6" s="7"/>
      <c r="E6" s="7" t="s">
        <v>1593</v>
      </c>
      <c r="F6" s="7" t="s">
        <v>1594</v>
      </c>
      <c r="G6" s="7" t="s">
        <v>1595</v>
      </c>
      <c r="H6" s="7" t="s">
        <v>1590</v>
      </c>
      <c r="I6" s="7" t="s">
        <v>1596</v>
      </c>
      <c r="J6" s="7" t="s">
        <v>1597</v>
      </c>
      <c r="K6" s="7"/>
      <c r="L6" s="7"/>
      <c r="M6" s="7"/>
      <c r="N6" s="7"/>
      <c r="O6" s="7"/>
      <c r="P6" s="7"/>
      <c r="Q6" s="13"/>
      <c r="R6" s="13"/>
    </row>
    <row r="7" customFormat="false" ht="60" hidden="false" customHeight="true" outlineLevel="0" collapsed="false">
      <c r="A7" s="7" t="s">
        <v>35</v>
      </c>
      <c r="B7" s="12" t="s">
        <v>1575</v>
      </c>
      <c r="C7" s="7"/>
      <c r="D7" s="7"/>
      <c r="E7" s="7" t="s">
        <v>1598</v>
      </c>
      <c r="F7" s="7" t="s">
        <v>1599</v>
      </c>
      <c r="G7" s="7" t="s">
        <v>232</v>
      </c>
      <c r="H7" s="7" t="s">
        <v>1590</v>
      </c>
      <c r="I7" s="7" t="s">
        <v>1600</v>
      </c>
      <c r="J7" s="7" t="s">
        <v>1601</v>
      </c>
      <c r="K7" s="7"/>
      <c r="L7" s="7"/>
      <c r="M7" s="7"/>
      <c r="N7" s="7"/>
      <c r="O7" s="7"/>
      <c r="P7" s="7"/>
      <c r="Q7" s="13"/>
      <c r="R7" s="13"/>
    </row>
    <row r="8" customFormat="false" ht="60" hidden="false" customHeight="true" outlineLevel="0" collapsed="false">
      <c r="A8" s="7" t="s">
        <v>35</v>
      </c>
      <c r="B8" s="15" t="s">
        <v>1602</v>
      </c>
      <c r="C8" s="7" t="s">
        <v>1603</v>
      </c>
      <c r="D8" s="7" t="s">
        <v>1604</v>
      </c>
      <c r="E8" s="7" t="s">
        <v>1605</v>
      </c>
      <c r="F8" s="7" t="s">
        <v>1606</v>
      </c>
      <c r="G8" s="7" t="s">
        <v>1607</v>
      </c>
      <c r="H8" s="7" t="s">
        <v>1608</v>
      </c>
      <c r="I8" s="7" t="s">
        <v>1609</v>
      </c>
      <c r="J8" s="7" t="s">
        <v>1610</v>
      </c>
      <c r="K8" s="7" t="s">
        <v>272</v>
      </c>
      <c r="L8" s="7" t="s">
        <v>1611</v>
      </c>
      <c r="M8" s="7" t="s">
        <v>1612</v>
      </c>
      <c r="N8" s="7" t="s">
        <v>1608</v>
      </c>
      <c r="O8" s="7" t="s">
        <v>1613</v>
      </c>
      <c r="P8" s="7" t="s">
        <v>1614</v>
      </c>
      <c r="Q8" s="13"/>
      <c r="R8" s="13"/>
    </row>
    <row r="9" customFormat="false" ht="60" hidden="false" customHeight="true" outlineLevel="0" collapsed="false">
      <c r="A9" s="7" t="s">
        <v>35</v>
      </c>
      <c r="B9" s="15" t="s">
        <v>1602</v>
      </c>
      <c r="C9" s="7" t="s">
        <v>1615</v>
      </c>
      <c r="D9" s="7" t="s">
        <v>1604</v>
      </c>
      <c r="E9" s="7" t="s">
        <v>1616</v>
      </c>
      <c r="F9" s="7" t="s">
        <v>1617</v>
      </c>
      <c r="G9" s="7" t="s">
        <v>1618</v>
      </c>
      <c r="H9" s="7" t="s">
        <v>1619</v>
      </c>
      <c r="I9" s="7" t="s">
        <v>1609</v>
      </c>
      <c r="J9" s="7" t="s">
        <v>1610</v>
      </c>
      <c r="K9" s="7" t="s">
        <v>1616</v>
      </c>
      <c r="L9" s="7" t="s">
        <v>1620</v>
      </c>
      <c r="M9" s="7" t="s">
        <v>1621</v>
      </c>
      <c r="N9" s="7" t="s">
        <v>1619</v>
      </c>
      <c r="O9" s="7" t="s">
        <v>1622</v>
      </c>
      <c r="P9" s="7" t="s">
        <v>1614</v>
      </c>
      <c r="Q9" s="13"/>
      <c r="R9" s="13"/>
    </row>
    <row r="10" customFormat="false" ht="60" hidden="false" customHeight="true" outlineLevel="0" collapsed="false">
      <c r="A10" s="7" t="s">
        <v>35</v>
      </c>
      <c r="B10" s="15" t="s">
        <v>1602</v>
      </c>
      <c r="C10" s="7" t="s">
        <v>1623</v>
      </c>
      <c r="D10" s="7" t="s">
        <v>1604</v>
      </c>
      <c r="E10" s="7" t="s">
        <v>676</v>
      </c>
      <c r="F10" s="7" t="s">
        <v>1624</v>
      </c>
      <c r="G10" s="7" t="s">
        <v>1625</v>
      </c>
      <c r="H10" s="7" t="s">
        <v>1626</v>
      </c>
      <c r="I10" s="7" t="s">
        <v>1627</v>
      </c>
      <c r="J10" s="7" t="s">
        <v>1610</v>
      </c>
      <c r="K10" s="7" t="s">
        <v>676</v>
      </c>
      <c r="L10" s="7" t="s">
        <v>1628</v>
      </c>
      <c r="M10" s="7" t="s">
        <v>1629</v>
      </c>
      <c r="N10" s="7" t="s">
        <v>1626</v>
      </c>
      <c r="O10" s="7" t="s">
        <v>1630</v>
      </c>
      <c r="P10" s="7" t="s">
        <v>1631</v>
      </c>
      <c r="Q10" s="13"/>
      <c r="R10" s="13"/>
    </row>
    <row r="11" customFormat="false" ht="60" hidden="false" customHeight="true" outlineLevel="0" collapsed="false">
      <c r="A11" s="7" t="s">
        <v>35</v>
      </c>
      <c r="B11" s="15" t="s">
        <v>1602</v>
      </c>
      <c r="C11" s="7" t="s">
        <v>1632</v>
      </c>
      <c r="D11" s="7" t="s">
        <v>1604</v>
      </c>
      <c r="E11" s="7" t="s">
        <v>286</v>
      </c>
      <c r="F11" s="7" t="s">
        <v>1633</v>
      </c>
      <c r="G11" s="7" t="s">
        <v>1634</v>
      </c>
      <c r="H11" s="7" t="s">
        <v>1578</v>
      </c>
      <c r="I11" s="7" t="s">
        <v>1635</v>
      </c>
      <c r="J11" s="7" t="s">
        <v>1636</v>
      </c>
      <c r="K11" s="7" t="s">
        <v>1041</v>
      </c>
      <c r="L11" s="7" t="s">
        <v>1637</v>
      </c>
      <c r="M11" s="7" t="s">
        <v>1638</v>
      </c>
      <c r="N11" s="7" t="s">
        <v>1578</v>
      </c>
      <c r="O11" s="7" t="s">
        <v>1639</v>
      </c>
      <c r="P11" s="7" t="s">
        <v>1640</v>
      </c>
      <c r="Q11" s="13"/>
      <c r="R11" s="13"/>
    </row>
    <row r="12" customFormat="false" ht="60" hidden="false" customHeight="true" outlineLevel="0" collapsed="false">
      <c r="A12" s="7" t="s">
        <v>35</v>
      </c>
      <c r="B12" s="12" t="s">
        <v>1575</v>
      </c>
      <c r="C12" s="7"/>
      <c r="D12" s="7"/>
      <c r="E12" s="7" t="s">
        <v>1641</v>
      </c>
      <c r="F12" s="7" t="s">
        <v>1642</v>
      </c>
      <c r="G12" s="7" t="s">
        <v>1643</v>
      </c>
      <c r="H12" s="7" t="s">
        <v>1578</v>
      </c>
      <c r="I12" s="7" t="s">
        <v>1644</v>
      </c>
      <c r="J12" s="7" t="s">
        <v>1645</v>
      </c>
      <c r="K12" s="7"/>
      <c r="L12" s="7"/>
      <c r="M12" s="7"/>
      <c r="N12" s="7"/>
      <c r="O12" s="7"/>
      <c r="P12" s="7"/>
      <c r="Q12" s="13"/>
      <c r="R12" s="13"/>
    </row>
    <row r="13" customFormat="false" ht="60" hidden="false" customHeight="true" outlineLevel="0" collapsed="false">
      <c r="A13" s="7" t="s">
        <v>35</v>
      </c>
      <c r="B13" s="12" t="s">
        <v>1575</v>
      </c>
      <c r="C13" s="7"/>
      <c r="D13" s="7"/>
      <c r="E13" s="7" t="s">
        <v>272</v>
      </c>
      <c r="F13" s="7" t="s">
        <v>1646</v>
      </c>
      <c r="G13" s="7" t="s">
        <v>1647</v>
      </c>
      <c r="H13" s="7" t="s">
        <v>597</v>
      </c>
      <c r="I13" s="7" t="s">
        <v>1648</v>
      </c>
      <c r="J13" s="7" t="s">
        <v>1649</v>
      </c>
      <c r="K13" s="7"/>
      <c r="L13" s="7"/>
      <c r="M13" s="7"/>
      <c r="N13" s="7"/>
      <c r="O13" s="7"/>
      <c r="P13" s="7"/>
      <c r="Q13" s="13"/>
      <c r="R13" s="13"/>
    </row>
    <row r="14" customFormat="false" ht="60" hidden="false" customHeight="true" outlineLevel="0" collapsed="false">
      <c r="A14" s="7" t="s">
        <v>35</v>
      </c>
      <c r="B14" s="12" t="s">
        <v>1575</v>
      </c>
      <c r="C14" s="7"/>
      <c r="D14" s="7"/>
      <c r="E14" s="7" t="s">
        <v>871</v>
      </c>
      <c r="F14" s="7" t="s">
        <v>1650</v>
      </c>
      <c r="G14" s="7" t="s">
        <v>1651</v>
      </c>
      <c r="H14" s="7" t="s">
        <v>597</v>
      </c>
      <c r="I14" s="7" t="s">
        <v>1652</v>
      </c>
      <c r="J14" s="7" t="s">
        <v>1653</v>
      </c>
      <c r="K14" s="7"/>
      <c r="L14" s="7"/>
      <c r="M14" s="7"/>
      <c r="N14" s="7"/>
      <c r="O14" s="7"/>
      <c r="P14" s="7"/>
      <c r="Q14" s="13"/>
      <c r="R14" s="13"/>
    </row>
    <row r="15" customFormat="false" ht="60" hidden="false" customHeight="true" outlineLevel="0" collapsed="false">
      <c r="A15" s="7" t="s">
        <v>35</v>
      </c>
      <c r="B15" s="12" t="s">
        <v>1575</v>
      </c>
      <c r="C15" s="7"/>
      <c r="D15" s="7"/>
      <c r="E15" s="7" t="s">
        <v>1654</v>
      </c>
      <c r="F15" s="7" t="s">
        <v>1655</v>
      </c>
      <c r="G15" s="7" t="s">
        <v>1656</v>
      </c>
      <c r="H15" s="7" t="s">
        <v>1578</v>
      </c>
      <c r="I15" s="7" t="s">
        <v>1657</v>
      </c>
      <c r="J15" s="7" t="s">
        <v>1658</v>
      </c>
      <c r="K15" s="7"/>
      <c r="L15" s="7"/>
      <c r="M15" s="7"/>
      <c r="N15" s="7"/>
      <c r="O15" s="7"/>
      <c r="P15" s="7"/>
      <c r="Q15" s="13"/>
      <c r="R15" s="13"/>
    </row>
    <row r="16" customFormat="false" ht="60" hidden="false" customHeight="true" outlineLevel="0" collapsed="false">
      <c r="A16" s="7" t="s">
        <v>35</v>
      </c>
      <c r="B16" s="12" t="s">
        <v>1575</v>
      </c>
      <c r="C16" s="7"/>
      <c r="D16" s="7"/>
      <c r="E16" s="7" t="s">
        <v>271</v>
      </c>
      <c r="F16" s="7" t="s">
        <v>1659</v>
      </c>
      <c r="G16" s="7" t="s">
        <v>1660</v>
      </c>
      <c r="H16" s="7" t="s">
        <v>1578</v>
      </c>
      <c r="I16" s="7" t="s">
        <v>1661</v>
      </c>
      <c r="J16" s="7" t="s">
        <v>1662</v>
      </c>
      <c r="K16" s="7"/>
      <c r="L16" s="7"/>
      <c r="M16" s="7"/>
      <c r="N16" s="7"/>
      <c r="O16" s="7"/>
      <c r="P16" s="7"/>
      <c r="Q16" s="13"/>
      <c r="R16" s="13"/>
    </row>
    <row r="17" customFormat="false" ht="60" hidden="false" customHeight="true" outlineLevel="0" collapsed="false">
      <c r="A17" s="7" t="s">
        <v>35</v>
      </c>
      <c r="B17" s="12" t="s">
        <v>1663</v>
      </c>
      <c r="C17" s="7"/>
      <c r="D17" s="7"/>
      <c r="E17" s="7"/>
      <c r="F17" s="7"/>
      <c r="G17" s="7"/>
      <c r="H17" s="7"/>
      <c r="I17" s="7"/>
      <c r="J17" s="7"/>
      <c r="K17" s="7" t="s">
        <v>232</v>
      </c>
      <c r="L17" s="7" t="s">
        <v>1664</v>
      </c>
      <c r="M17" s="7" t="s">
        <v>1665</v>
      </c>
      <c r="N17" s="7" t="s">
        <v>1578</v>
      </c>
      <c r="O17" s="7" t="s">
        <v>1639</v>
      </c>
      <c r="P17" s="7" t="s">
        <v>1640</v>
      </c>
      <c r="Q17" s="13"/>
      <c r="R17" s="13"/>
    </row>
    <row r="18" customFormat="false" ht="60" hidden="false" customHeight="true" outlineLevel="0" collapsed="false">
      <c r="A18" s="7" t="s">
        <v>35</v>
      </c>
      <c r="B18" s="12" t="s">
        <v>1663</v>
      </c>
      <c r="C18" s="7"/>
      <c r="D18" s="7"/>
      <c r="E18" s="7"/>
      <c r="F18" s="7"/>
      <c r="G18" s="7"/>
      <c r="H18" s="7"/>
      <c r="I18" s="7"/>
      <c r="J18" s="7"/>
      <c r="K18" s="7" t="s">
        <v>1581</v>
      </c>
      <c r="L18" s="7" t="s">
        <v>1666</v>
      </c>
      <c r="M18" s="7" t="s">
        <v>1667</v>
      </c>
      <c r="N18" s="7" t="s">
        <v>1578</v>
      </c>
      <c r="O18" s="7" t="s">
        <v>1639</v>
      </c>
      <c r="P18" s="7" t="s">
        <v>1640</v>
      </c>
      <c r="Q18" s="13"/>
      <c r="R18" s="13"/>
    </row>
    <row r="19" customFormat="false" ht="60" hidden="false" customHeight="true" outlineLevel="0" collapsed="false">
      <c r="A19" s="7" t="s">
        <v>35</v>
      </c>
      <c r="B19" s="12" t="s">
        <v>1663</v>
      </c>
      <c r="C19" s="7"/>
      <c r="D19" s="7"/>
      <c r="E19" s="7"/>
      <c r="F19" s="7"/>
      <c r="G19" s="7"/>
      <c r="H19" s="7"/>
      <c r="I19" s="7"/>
      <c r="J19" s="7"/>
      <c r="K19" s="7" t="s">
        <v>1040</v>
      </c>
      <c r="L19" s="7" t="s">
        <v>1668</v>
      </c>
      <c r="M19" s="7" t="s">
        <v>1669</v>
      </c>
      <c r="N19" s="7" t="s">
        <v>1578</v>
      </c>
      <c r="O19" s="7" t="s">
        <v>1670</v>
      </c>
      <c r="P19" s="7" t="s">
        <v>1640</v>
      </c>
      <c r="Q19" s="13"/>
      <c r="R19" s="13"/>
    </row>
    <row r="20" customFormat="false" ht="60" hidden="false" customHeight="true" outlineLevel="0" collapsed="false">
      <c r="A20" s="7" t="s">
        <v>35</v>
      </c>
      <c r="B20" s="12" t="s">
        <v>1663</v>
      </c>
      <c r="C20" s="7"/>
      <c r="D20" s="7"/>
      <c r="E20" s="7"/>
      <c r="F20" s="7"/>
      <c r="G20" s="7"/>
      <c r="H20" s="7"/>
      <c r="I20" s="7"/>
      <c r="J20" s="7"/>
      <c r="K20" s="7" t="s">
        <v>1593</v>
      </c>
      <c r="L20" s="7" t="s">
        <v>1671</v>
      </c>
      <c r="M20" s="7" t="s">
        <v>1672</v>
      </c>
      <c r="N20" s="7" t="s">
        <v>1578</v>
      </c>
      <c r="O20" s="7" t="s">
        <v>1670</v>
      </c>
      <c r="P20" s="7" t="s">
        <v>1640</v>
      </c>
      <c r="Q20" s="13"/>
      <c r="R20" s="13"/>
    </row>
    <row r="21" customFormat="false" ht="60" hidden="false" customHeight="true" outlineLevel="0" collapsed="false">
      <c r="A21" s="7" t="s">
        <v>35</v>
      </c>
      <c r="B21" s="12" t="s">
        <v>1663</v>
      </c>
      <c r="C21" s="7"/>
      <c r="D21" s="7"/>
      <c r="E21" s="7"/>
      <c r="F21" s="7"/>
      <c r="G21" s="7"/>
      <c r="H21" s="7"/>
      <c r="I21" s="7"/>
      <c r="J21" s="7"/>
      <c r="K21" s="7" t="s">
        <v>1598</v>
      </c>
      <c r="L21" s="7" t="s">
        <v>1673</v>
      </c>
      <c r="M21" s="7" t="s">
        <v>1674</v>
      </c>
      <c r="N21" s="7" t="s">
        <v>1578</v>
      </c>
      <c r="O21" s="7" t="s">
        <v>1670</v>
      </c>
      <c r="P21" s="7" t="s">
        <v>1640</v>
      </c>
      <c r="Q21" s="13"/>
      <c r="R21" s="13"/>
    </row>
    <row r="22" customFormat="false" ht="60" hidden="false" customHeight="true" outlineLevel="0" collapsed="false">
      <c r="A22" s="7" t="s">
        <v>35</v>
      </c>
      <c r="B22" s="12" t="s">
        <v>1663</v>
      </c>
      <c r="C22" s="7"/>
      <c r="D22" s="7"/>
      <c r="E22" s="7"/>
      <c r="F22" s="7"/>
      <c r="G22" s="7"/>
      <c r="H22" s="7"/>
      <c r="I22" s="7"/>
      <c r="J22" s="7"/>
      <c r="K22" s="7" t="s">
        <v>1605</v>
      </c>
      <c r="L22" s="7" t="s">
        <v>1675</v>
      </c>
      <c r="M22" s="7" t="s">
        <v>1676</v>
      </c>
      <c r="N22" s="7" t="s">
        <v>1619</v>
      </c>
      <c r="O22" s="7" t="s">
        <v>1677</v>
      </c>
      <c r="P22" s="7" t="s">
        <v>1631</v>
      </c>
      <c r="Q22" s="13"/>
      <c r="R22" s="13"/>
    </row>
    <row r="23" customFormat="false" ht="60" hidden="false" customHeight="true" outlineLevel="0" collapsed="false">
      <c r="A23" s="7" t="s">
        <v>35</v>
      </c>
      <c r="B23" s="12" t="s">
        <v>1663</v>
      </c>
      <c r="C23" s="7"/>
      <c r="D23" s="7"/>
      <c r="E23" s="7"/>
      <c r="F23" s="7"/>
      <c r="G23" s="7"/>
      <c r="H23" s="7"/>
      <c r="I23" s="7"/>
      <c r="J23" s="7"/>
      <c r="K23" s="7" t="s">
        <v>286</v>
      </c>
      <c r="L23" s="7" t="s">
        <v>1678</v>
      </c>
      <c r="M23" s="7" t="s">
        <v>1679</v>
      </c>
      <c r="N23" s="7" t="s">
        <v>1626</v>
      </c>
      <c r="O23" s="7" t="s">
        <v>1680</v>
      </c>
      <c r="P23" s="7" t="s">
        <v>1614</v>
      </c>
      <c r="Q23" s="13"/>
      <c r="R23" s="13"/>
    </row>
    <row r="24" customFormat="false" ht="60" hidden="false" customHeight="true" outlineLevel="0" collapsed="false">
      <c r="A24" s="7" t="s">
        <v>35</v>
      </c>
      <c r="B24" s="12" t="s">
        <v>1663</v>
      </c>
      <c r="C24" s="7"/>
      <c r="D24" s="7"/>
      <c r="E24" s="7"/>
      <c r="F24" s="7"/>
      <c r="G24" s="7"/>
      <c r="H24" s="7"/>
      <c r="I24" s="7"/>
      <c r="J24" s="7"/>
      <c r="K24" s="7" t="s">
        <v>1641</v>
      </c>
      <c r="L24" s="7" t="s">
        <v>1681</v>
      </c>
      <c r="M24" s="7" t="s">
        <v>1682</v>
      </c>
      <c r="N24" s="7" t="s">
        <v>1608</v>
      </c>
      <c r="O24" s="7" t="s">
        <v>1683</v>
      </c>
      <c r="P24" s="7" t="s">
        <v>1631</v>
      </c>
      <c r="Q24" s="13"/>
      <c r="R24" s="13"/>
    </row>
    <row r="25" customFormat="false" ht="60" hidden="false" customHeight="true" outlineLevel="0" collapsed="false">
      <c r="A25" s="7" t="s">
        <v>36</v>
      </c>
      <c r="B25" s="15" t="s">
        <v>1602</v>
      </c>
      <c r="C25" s="7" t="s">
        <v>1684</v>
      </c>
      <c r="D25" s="7" t="s">
        <v>1685</v>
      </c>
      <c r="E25" s="7" t="s">
        <v>232</v>
      </c>
      <c r="F25" s="7" t="s">
        <v>1686</v>
      </c>
      <c r="G25" s="7" t="s">
        <v>1687</v>
      </c>
      <c r="H25" s="7" t="s">
        <v>1590</v>
      </c>
      <c r="I25" s="7" t="s">
        <v>1688</v>
      </c>
      <c r="J25" s="7" t="s">
        <v>1689</v>
      </c>
      <c r="K25" s="7" t="s">
        <v>232</v>
      </c>
      <c r="L25" s="7" t="s">
        <v>1690</v>
      </c>
      <c r="M25" s="7" t="s">
        <v>1687</v>
      </c>
      <c r="N25" s="7" t="s">
        <v>1590</v>
      </c>
      <c r="O25" s="7" t="s">
        <v>1691</v>
      </c>
      <c r="P25" s="7" t="s">
        <v>1692</v>
      </c>
      <c r="Q25" s="13"/>
      <c r="R25" s="13"/>
    </row>
    <row r="26" customFormat="false" ht="60" hidden="false" customHeight="true" outlineLevel="0" collapsed="false">
      <c r="A26" s="7" t="s">
        <v>36</v>
      </c>
      <c r="B26" s="15" t="s">
        <v>1602</v>
      </c>
      <c r="C26" s="7" t="s">
        <v>1693</v>
      </c>
      <c r="D26" s="7" t="s">
        <v>1694</v>
      </c>
      <c r="E26" s="7" t="s">
        <v>1581</v>
      </c>
      <c r="F26" s="7" t="s">
        <v>1695</v>
      </c>
      <c r="G26" s="7" t="s">
        <v>1041</v>
      </c>
      <c r="H26" s="7" t="s">
        <v>1696</v>
      </c>
      <c r="I26" s="7" t="s">
        <v>1697</v>
      </c>
      <c r="J26" s="7" t="s">
        <v>1698</v>
      </c>
      <c r="K26" s="7" t="s">
        <v>1581</v>
      </c>
      <c r="L26" s="7" t="s">
        <v>1699</v>
      </c>
      <c r="M26" s="7" t="s">
        <v>1041</v>
      </c>
      <c r="N26" s="7" t="s">
        <v>1590</v>
      </c>
      <c r="O26" s="7" t="s">
        <v>1700</v>
      </c>
      <c r="P26" s="7" t="s">
        <v>1698</v>
      </c>
      <c r="Q26" s="13"/>
      <c r="R26" s="13"/>
    </row>
    <row r="27" customFormat="false" ht="60" hidden="false" customHeight="true" outlineLevel="0" collapsed="false">
      <c r="A27" s="7" t="s">
        <v>36</v>
      </c>
      <c r="B27" s="15" t="s">
        <v>1602</v>
      </c>
      <c r="C27" s="7" t="s">
        <v>1701</v>
      </c>
      <c r="D27" s="7" t="s">
        <v>1702</v>
      </c>
      <c r="E27" s="7" t="s">
        <v>1041</v>
      </c>
      <c r="F27" s="7" t="s">
        <v>1703</v>
      </c>
      <c r="G27" s="7" t="s">
        <v>1704</v>
      </c>
      <c r="H27" s="7" t="s">
        <v>1696</v>
      </c>
      <c r="I27" s="7" t="s">
        <v>1705</v>
      </c>
      <c r="J27" s="7" t="s">
        <v>1689</v>
      </c>
      <c r="K27" s="7" t="s">
        <v>1041</v>
      </c>
      <c r="L27" s="7" t="s">
        <v>1706</v>
      </c>
      <c r="M27" s="7" t="s">
        <v>1704</v>
      </c>
      <c r="N27" s="7" t="s">
        <v>1590</v>
      </c>
      <c r="O27" s="7" t="s">
        <v>1707</v>
      </c>
      <c r="P27" s="7" t="s">
        <v>1692</v>
      </c>
      <c r="Q27" s="13"/>
      <c r="R27" s="13"/>
    </row>
    <row r="28" customFormat="false" ht="60" hidden="false" customHeight="true" outlineLevel="0" collapsed="false">
      <c r="A28" s="7" t="s">
        <v>36</v>
      </c>
      <c r="B28" s="15" t="s">
        <v>1602</v>
      </c>
      <c r="C28" s="7" t="s">
        <v>1708</v>
      </c>
      <c r="D28" s="7" t="s">
        <v>1702</v>
      </c>
      <c r="E28" s="7" t="s">
        <v>1040</v>
      </c>
      <c r="F28" s="7" t="s">
        <v>1709</v>
      </c>
      <c r="G28" s="7" t="s">
        <v>881</v>
      </c>
      <c r="H28" s="7" t="s">
        <v>1696</v>
      </c>
      <c r="I28" s="7" t="s">
        <v>1710</v>
      </c>
      <c r="J28" s="7" t="s">
        <v>1689</v>
      </c>
      <c r="K28" s="7" t="s">
        <v>1040</v>
      </c>
      <c r="L28" s="7" t="s">
        <v>1711</v>
      </c>
      <c r="M28" s="7" t="s">
        <v>881</v>
      </c>
      <c r="N28" s="7" t="s">
        <v>1590</v>
      </c>
      <c r="O28" s="7" t="s">
        <v>1712</v>
      </c>
      <c r="P28" s="7" t="s">
        <v>1692</v>
      </c>
      <c r="Q28" s="13"/>
      <c r="R28" s="13"/>
    </row>
    <row r="29" customFormat="false" ht="60" hidden="false" customHeight="true" outlineLevel="0" collapsed="false">
      <c r="A29" s="7" t="s">
        <v>37</v>
      </c>
      <c r="B29" s="12" t="s">
        <v>1575</v>
      </c>
      <c r="C29" s="7"/>
      <c r="D29" s="7"/>
      <c r="E29" s="7" t="s">
        <v>232</v>
      </c>
      <c r="F29" s="7" t="s">
        <v>1713</v>
      </c>
      <c r="G29" s="7" t="s">
        <v>1714</v>
      </c>
      <c r="H29" s="7" t="s">
        <v>1578</v>
      </c>
      <c r="I29" s="7" t="s">
        <v>1715</v>
      </c>
      <c r="J29" s="7" t="s">
        <v>1716</v>
      </c>
      <c r="K29" s="7"/>
      <c r="L29" s="7"/>
      <c r="M29" s="7"/>
      <c r="N29" s="7"/>
      <c r="O29" s="7"/>
      <c r="P29" s="7"/>
      <c r="Q29" s="13"/>
      <c r="R29" s="13"/>
    </row>
    <row r="30" customFormat="false" ht="60" hidden="false" customHeight="true" outlineLevel="0" collapsed="false">
      <c r="A30" s="7" t="s">
        <v>37</v>
      </c>
      <c r="B30" s="12" t="s">
        <v>1575</v>
      </c>
      <c r="C30" s="7"/>
      <c r="D30" s="7"/>
      <c r="E30" s="7" t="s">
        <v>1581</v>
      </c>
      <c r="F30" s="7" t="s">
        <v>1717</v>
      </c>
      <c r="G30" s="7" t="s">
        <v>1718</v>
      </c>
      <c r="H30" s="7" t="s">
        <v>1578</v>
      </c>
      <c r="I30" s="7" t="s">
        <v>1719</v>
      </c>
      <c r="J30" s="7" t="s">
        <v>1716</v>
      </c>
      <c r="K30" s="7"/>
      <c r="L30" s="7"/>
      <c r="M30" s="7"/>
      <c r="N30" s="7"/>
      <c r="O30" s="7"/>
      <c r="P30" s="7"/>
      <c r="Q30" s="13"/>
      <c r="R30" s="13"/>
    </row>
    <row r="31" customFormat="false" ht="60" hidden="false" customHeight="true" outlineLevel="0" collapsed="false">
      <c r="A31" s="7" t="s">
        <v>37</v>
      </c>
      <c r="B31" s="12" t="s">
        <v>1575</v>
      </c>
      <c r="C31" s="7"/>
      <c r="D31" s="7"/>
      <c r="E31" s="7" t="s">
        <v>1041</v>
      </c>
      <c r="F31" s="7" t="s">
        <v>1720</v>
      </c>
      <c r="G31" s="7" t="s">
        <v>1721</v>
      </c>
      <c r="H31" s="7" t="s">
        <v>1578</v>
      </c>
      <c r="I31" s="7" t="s">
        <v>1719</v>
      </c>
      <c r="J31" s="7" t="s">
        <v>1716</v>
      </c>
      <c r="K31" s="7"/>
      <c r="L31" s="7"/>
      <c r="M31" s="7"/>
      <c r="N31" s="7"/>
      <c r="O31" s="7"/>
      <c r="P31" s="7"/>
      <c r="Q31" s="13"/>
      <c r="R31" s="13"/>
    </row>
    <row r="32" customFormat="false" ht="60" hidden="false" customHeight="true" outlineLevel="0" collapsed="false">
      <c r="A32" s="7" t="s">
        <v>37</v>
      </c>
      <c r="B32" s="12" t="s">
        <v>1575</v>
      </c>
      <c r="C32" s="7"/>
      <c r="D32" s="7"/>
      <c r="E32" s="7" t="s">
        <v>1040</v>
      </c>
      <c r="F32" s="7" t="s">
        <v>1722</v>
      </c>
      <c r="G32" s="7" t="s">
        <v>1723</v>
      </c>
      <c r="H32" s="7" t="s">
        <v>1578</v>
      </c>
      <c r="I32" s="7" t="s">
        <v>1719</v>
      </c>
      <c r="J32" s="7" t="s">
        <v>1716</v>
      </c>
      <c r="K32" s="7"/>
      <c r="L32" s="7"/>
      <c r="M32" s="7"/>
      <c r="N32" s="7"/>
      <c r="O32" s="7"/>
      <c r="P32" s="7"/>
      <c r="Q32" s="13"/>
      <c r="R32" s="13"/>
    </row>
    <row r="33" customFormat="false" ht="60" hidden="false" customHeight="true" outlineLevel="0" collapsed="false">
      <c r="A33" s="7" t="s">
        <v>37</v>
      </c>
      <c r="B33" s="15" t="s">
        <v>1602</v>
      </c>
      <c r="C33" s="7" t="s">
        <v>1724</v>
      </c>
      <c r="D33" s="7" t="s">
        <v>1725</v>
      </c>
      <c r="E33" s="7" t="s">
        <v>1593</v>
      </c>
      <c r="F33" s="7" t="s">
        <v>1726</v>
      </c>
      <c r="G33" s="7" t="s">
        <v>1727</v>
      </c>
      <c r="H33" s="7" t="s">
        <v>264</v>
      </c>
      <c r="I33" s="7" t="s">
        <v>1728</v>
      </c>
      <c r="J33" s="7" t="s">
        <v>1729</v>
      </c>
      <c r="K33" s="7" t="s">
        <v>232</v>
      </c>
      <c r="L33" s="7" t="s">
        <v>1726</v>
      </c>
      <c r="M33" s="7" t="s">
        <v>1730</v>
      </c>
      <c r="N33" s="7" t="s">
        <v>264</v>
      </c>
      <c r="O33" s="7" t="s">
        <v>1731</v>
      </c>
      <c r="P33" s="7" t="s">
        <v>1732</v>
      </c>
      <c r="Q33" s="13"/>
      <c r="R33" s="13"/>
    </row>
    <row r="34" customFormat="false" ht="60" hidden="false" customHeight="true" outlineLevel="0" collapsed="false">
      <c r="A34" s="7" t="s">
        <v>37</v>
      </c>
      <c r="B34" s="15" t="s">
        <v>1602</v>
      </c>
      <c r="C34" s="7" t="s">
        <v>1733</v>
      </c>
      <c r="D34" s="7" t="s">
        <v>1725</v>
      </c>
      <c r="E34" s="7" t="s">
        <v>1598</v>
      </c>
      <c r="F34" s="7" t="s">
        <v>1734</v>
      </c>
      <c r="G34" s="7" t="s">
        <v>1735</v>
      </c>
      <c r="H34" s="7" t="s">
        <v>264</v>
      </c>
      <c r="I34" s="7" t="s">
        <v>1736</v>
      </c>
      <c r="J34" s="7" t="s">
        <v>1729</v>
      </c>
      <c r="K34" s="7" t="s">
        <v>1581</v>
      </c>
      <c r="L34" s="7" t="s">
        <v>1734</v>
      </c>
      <c r="M34" s="7" t="s">
        <v>1737</v>
      </c>
      <c r="N34" s="7" t="s">
        <v>264</v>
      </c>
      <c r="O34" s="7" t="s">
        <v>1738</v>
      </c>
      <c r="P34" s="7" t="s">
        <v>1732</v>
      </c>
      <c r="Q34" s="13"/>
      <c r="R34" s="13"/>
    </row>
    <row r="35" customFormat="false" ht="60" hidden="false" customHeight="true" outlineLevel="0" collapsed="false">
      <c r="A35" s="7" t="s">
        <v>37</v>
      </c>
      <c r="B35" s="12" t="s">
        <v>1575</v>
      </c>
      <c r="C35" s="7"/>
      <c r="D35" s="7"/>
      <c r="E35" s="7" t="s">
        <v>1605</v>
      </c>
      <c r="F35" s="7" t="s">
        <v>1739</v>
      </c>
      <c r="G35" s="7" t="s">
        <v>1740</v>
      </c>
      <c r="H35" s="7" t="s">
        <v>264</v>
      </c>
      <c r="I35" s="7" t="s">
        <v>1741</v>
      </c>
      <c r="J35" s="7" t="s">
        <v>1729</v>
      </c>
      <c r="K35" s="7"/>
      <c r="L35" s="7"/>
      <c r="M35" s="7"/>
      <c r="N35" s="7"/>
      <c r="O35" s="7"/>
      <c r="P35" s="7"/>
      <c r="Q35" s="13"/>
      <c r="R35" s="13"/>
    </row>
    <row r="36" customFormat="false" ht="60" hidden="false" customHeight="true" outlineLevel="0" collapsed="false">
      <c r="A36" s="7" t="s">
        <v>37</v>
      </c>
      <c r="B36" s="12" t="s">
        <v>1575</v>
      </c>
      <c r="C36" s="7"/>
      <c r="D36" s="7"/>
      <c r="E36" s="7" t="s">
        <v>1616</v>
      </c>
      <c r="F36" s="7" t="s">
        <v>1742</v>
      </c>
      <c r="G36" s="7" t="s">
        <v>1743</v>
      </c>
      <c r="H36" s="7" t="s">
        <v>264</v>
      </c>
      <c r="I36" s="7" t="s">
        <v>1741</v>
      </c>
      <c r="J36" s="7" t="s">
        <v>1729</v>
      </c>
      <c r="K36" s="7"/>
      <c r="L36" s="7"/>
      <c r="M36" s="7"/>
      <c r="N36" s="7"/>
      <c r="O36" s="7"/>
      <c r="P36" s="7"/>
      <c r="Q36" s="13"/>
      <c r="R36" s="13"/>
    </row>
    <row r="37" customFormat="false" ht="60" hidden="false" customHeight="true" outlineLevel="0" collapsed="false">
      <c r="A37" s="7" t="s">
        <v>37</v>
      </c>
      <c r="B37" s="15" t="s">
        <v>1602</v>
      </c>
      <c r="C37" s="7" t="s">
        <v>1744</v>
      </c>
      <c r="D37" s="7" t="s">
        <v>1604</v>
      </c>
      <c r="E37" s="7" t="s">
        <v>676</v>
      </c>
      <c r="F37" s="7" t="s">
        <v>1745</v>
      </c>
      <c r="G37" s="7" t="s">
        <v>1746</v>
      </c>
      <c r="H37" s="7" t="s">
        <v>264</v>
      </c>
      <c r="I37" s="7" t="s">
        <v>1741</v>
      </c>
      <c r="J37" s="7" t="s">
        <v>1729</v>
      </c>
      <c r="K37" s="7" t="s">
        <v>1041</v>
      </c>
      <c r="L37" s="7" t="s">
        <v>1747</v>
      </c>
      <c r="M37" s="7" t="s">
        <v>1748</v>
      </c>
      <c r="N37" s="7" t="s">
        <v>264</v>
      </c>
      <c r="O37" s="7" t="s">
        <v>1749</v>
      </c>
      <c r="P37" s="7" t="s">
        <v>1732</v>
      </c>
      <c r="Q37" s="13"/>
      <c r="R37" s="13"/>
    </row>
    <row r="38" customFormat="false" ht="60" hidden="false" customHeight="true" outlineLevel="0" collapsed="false">
      <c r="A38" s="7" t="s">
        <v>37</v>
      </c>
      <c r="B38" s="15" t="s">
        <v>1602</v>
      </c>
      <c r="C38" s="7" t="s">
        <v>1750</v>
      </c>
      <c r="D38" s="7" t="s">
        <v>1604</v>
      </c>
      <c r="E38" s="7" t="s">
        <v>286</v>
      </c>
      <c r="F38" s="7" t="s">
        <v>1751</v>
      </c>
      <c r="G38" s="7" t="s">
        <v>1752</v>
      </c>
      <c r="H38" s="7" t="s">
        <v>264</v>
      </c>
      <c r="I38" s="7" t="s">
        <v>1741</v>
      </c>
      <c r="J38" s="7" t="s">
        <v>1729</v>
      </c>
      <c r="K38" s="7" t="s">
        <v>1040</v>
      </c>
      <c r="L38" s="7" t="s">
        <v>1753</v>
      </c>
      <c r="M38" s="7" t="s">
        <v>1754</v>
      </c>
      <c r="N38" s="7" t="s">
        <v>264</v>
      </c>
      <c r="O38" s="7" t="s">
        <v>1755</v>
      </c>
      <c r="P38" s="7" t="s">
        <v>1732</v>
      </c>
      <c r="Q38" s="13"/>
      <c r="R38" s="13"/>
    </row>
    <row r="39" customFormat="false" ht="60" hidden="false" customHeight="true" outlineLevel="0" collapsed="false">
      <c r="A39" s="7" t="s">
        <v>37</v>
      </c>
      <c r="B39" s="15" t="s">
        <v>1602</v>
      </c>
      <c r="C39" s="7" t="s">
        <v>1615</v>
      </c>
      <c r="D39" s="7" t="s">
        <v>1604</v>
      </c>
      <c r="E39" s="7" t="s">
        <v>1641</v>
      </c>
      <c r="F39" s="7" t="s">
        <v>1756</v>
      </c>
      <c r="G39" s="7" t="s">
        <v>1757</v>
      </c>
      <c r="H39" s="7" t="s">
        <v>264</v>
      </c>
      <c r="I39" s="7" t="s">
        <v>1741</v>
      </c>
      <c r="J39" s="7" t="s">
        <v>1729</v>
      </c>
      <c r="K39" s="7" t="s">
        <v>1593</v>
      </c>
      <c r="L39" s="7" t="s">
        <v>1758</v>
      </c>
      <c r="M39" s="7" t="s">
        <v>1759</v>
      </c>
      <c r="N39" s="7" t="s">
        <v>264</v>
      </c>
      <c r="O39" s="7" t="s">
        <v>1760</v>
      </c>
      <c r="P39" s="7" t="s">
        <v>1732</v>
      </c>
      <c r="Q39" s="13"/>
      <c r="R39" s="13"/>
    </row>
    <row r="40" customFormat="false" ht="60" hidden="false" customHeight="true" outlineLevel="0" collapsed="false">
      <c r="A40" s="7" t="s">
        <v>37</v>
      </c>
      <c r="B40" s="12" t="s">
        <v>1575</v>
      </c>
      <c r="C40" s="7"/>
      <c r="D40" s="7"/>
      <c r="E40" s="7" t="s">
        <v>272</v>
      </c>
      <c r="F40" s="7" t="s">
        <v>1761</v>
      </c>
      <c r="G40" s="7" t="s">
        <v>1762</v>
      </c>
      <c r="H40" s="7" t="s">
        <v>264</v>
      </c>
      <c r="I40" s="7" t="s">
        <v>1763</v>
      </c>
      <c r="J40" s="7" t="s">
        <v>1764</v>
      </c>
      <c r="K40" s="7"/>
      <c r="L40" s="7"/>
      <c r="M40" s="7"/>
      <c r="N40" s="7"/>
      <c r="O40" s="7"/>
      <c r="P40" s="7"/>
      <c r="Q40" s="13"/>
      <c r="R40" s="13"/>
    </row>
    <row r="41" customFormat="false" ht="60" hidden="false" customHeight="true" outlineLevel="0" collapsed="false">
      <c r="A41" s="7" t="s">
        <v>37</v>
      </c>
      <c r="B41" s="12" t="s">
        <v>1575</v>
      </c>
      <c r="C41" s="7"/>
      <c r="D41" s="7"/>
      <c r="E41" s="7" t="s">
        <v>871</v>
      </c>
      <c r="F41" s="7" t="s">
        <v>1765</v>
      </c>
      <c r="G41" s="7" t="s">
        <v>1766</v>
      </c>
      <c r="H41" s="7" t="s">
        <v>264</v>
      </c>
      <c r="I41" s="7" t="s">
        <v>1767</v>
      </c>
      <c r="J41" s="7" t="s">
        <v>1764</v>
      </c>
      <c r="K41" s="7"/>
      <c r="L41" s="7"/>
      <c r="M41" s="7"/>
      <c r="N41" s="7"/>
      <c r="O41" s="7"/>
      <c r="P41" s="7"/>
      <c r="Q41" s="13"/>
      <c r="R41" s="13"/>
    </row>
    <row r="42" customFormat="false" ht="60" hidden="false" customHeight="true" outlineLevel="0" collapsed="false">
      <c r="A42" s="7" t="s">
        <v>37</v>
      </c>
      <c r="B42" s="12" t="s">
        <v>1575</v>
      </c>
      <c r="C42" s="7"/>
      <c r="D42" s="7"/>
      <c r="E42" s="7" t="s">
        <v>1654</v>
      </c>
      <c r="F42" s="7" t="s">
        <v>1768</v>
      </c>
      <c r="G42" s="7" t="s">
        <v>1769</v>
      </c>
      <c r="H42" s="7" t="s">
        <v>264</v>
      </c>
      <c r="I42" s="7" t="s">
        <v>1770</v>
      </c>
      <c r="J42" s="7" t="s">
        <v>1764</v>
      </c>
      <c r="K42" s="7"/>
      <c r="L42" s="7"/>
      <c r="M42" s="7"/>
      <c r="N42" s="7"/>
      <c r="O42" s="7"/>
      <c r="P42" s="7"/>
      <c r="Q42" s="13"/>
      <c r="R42" s="13"/>
    </row>
    <row r="43" customFormat="false" ht="60" hidden="false" customHeight="true" outlineLevel="0" collapsed="false">
      <c r="A43" s="7" t="s">
        <v>37</v>
      </c>
      <c r="B43" s="12" t="s">
        <v>1575</v>
      </c>
      <c r="C43" s="7"/>
      <c r="D43" s="7"/>
      <c r="E43" s="7" t="s">
        <v>271</v>
      </c>
      <c r="F43" s="7" t="s">
        <v>1771</v>
      </c>
      <c r="G43" s="7" t="s">
        <v>1772</v>
      </c>
      <c r="H43" s="7" t="s">
        <v>264</v>
      </c>
      <c r="I43" s="7" t="s">
        <v>1773</v>
      </c>
      <c r="J43" s="7" t="s">
        <v>1764</v>
      </c>
      <c r="K43" s="7"/>
      <c r="L43" s="7"/>
      <c r="M43" s="7"/>
      <c r="N43" s="7"/>
      <c r="O43" s="7"/>
      <c r="P43" s="7"/>
      <c r="Q43" s="13"/>
      <c r="R43" s="13"/>
    </row>
    <row r="44" customFormat="false" ht="60" hidden="false" customHeight="true" outlineLevel="0" collapsed="false">
      <c r="A44" s="7" t="s">
        <v>37</v>
      </c>
      <c r="B44" s="12" t="s">
        <v>1663</v>
      </c>
      <c r="C44" s="7"/>
      <c r="D44" s="7"/>
      <c r="E44" s="7"/>
      <c r="F44" s="7"/>
      <c r="G44" s="7"/>
      <c r="H44" s="7"/>
      <c r="I44" s="7"/>
      <c r="J44" s="7"/>
      <c r="K44" s="7" t="s">
        <v>1598</v>
      </c>
      <c r="L44" s="7" t="s">
        <v>1774</v>
      </c>
      <c r="M44" s="7" t="s">
        <v>1775</v>
      </c>
      <c r="N44" s="7" t="s">
        <v>264</v>
      </c>
      <c r="O44" s="7" t="s">
        <v>1776</v>
      </c>
      <c r="P44" s="7" t="s">
        <v>1777</v>
      </c>
      <c r="Q44" s="13"/>
      <c r="R44" s="13"/>
    </row>
    <row r="45" customFormat="false" ht="60" hidden="false" customHeight="true" outlineLevel="0" collapsed="false">
      <c r="A45" s="7" t="s">
        <v>37</v>
      </c>
      <c r="B45" s="12" t="s">
        <v>1663</v>
      </c>
      <c r="C45" s="7"/>
      <c r="D45" s="7"/>
      <c r="E45" s="7"/>
      <c r="F45" s="7"/>
      <c r="G45" s="7"/>
      <c r="H45" s="7"/>
      <c r="I45" s="7"/>
      <c r="J45" s="7"/>
      <c r="K45" s="7" t="s">
        <v>1605</v>
      </c>
      <c r="L45" s="7" t="s">
        <v>1778</v>
      </c>
      <c r="M45" s="7" t="s">
        <v>1779</v>
      </c>
      <c r="N45" s="7" t="s">
        <v>264</v>
      </c>
      <c r="O45" s="7" t="s">
        <v>1780</v>
      </c>
      <c r="P45" s="7" t="s">
        <v>1777</v>
      </c>
      <c r="Q45" s="13"/>
      <c r="R45" s="13"/>
    </row>
    <row r="46" customFormat="false" ht="60" hidden="false" customHeight="true" outlineLevel="0" collapsed="false">
      <c r="A46" s="7" t="s">
        <v>37</v>
      </c>
      <c r="B46" s="12" t="s">
        <v>1663</v>
      </c>
      <c r="C46" s="7"/>
      <c r="D46" s="7"/>
      <c r="E46" s="7"/>
      <c r="F46" s="7"/>
      <c r="G46" s="7"/>
      <c r="H46" s="7"/>
      <c r="I46" s="7"/>
      <c r="J46" s="7"/>
      <c r="K46" s="7" t="s">
        <v>1616</v>
      </c>
      <c r="L46" s="7" t="s">
        <v>1781</v>
      </c>
      <c r="M46" s="7" t="s">
        <v>1782</v>
      </c>
      <c r="N46" s="7" t="s">
        <v>264</v>
      </c>
      <c r="O46" s="7" t="s">
        <v>1783</v>
      </c>
      <c r="P46" s="7" t="s">
        <v>1777</v>
      </c>
      <c r="Q46" s="13"/>
      <c r="R46" s="13"/>
    </row>
    <row r="47" customFormat="false" ht="60" hidden="false" customHeight="true" outlineLevel="0" collapsed="false">
      <c r="A47" s="7" t="s">
        <v>37</v>
      </c>
      <c r="B47" s="12" t="s">
        <v>1663</v>
      </c>
      <c r="C47" s="7"/>
      <c r="D47" s="7"/>
      <c r="E47" s="7"/>
      <c r="F47" s="7"/>
      <c r="G47" s="7"/>
      <c r="H47" s="7"/>
      <c r="I47" s="7"/>
      <c r="J47" s="7"/>
      <c r="K47" s="7" t="s">
        <v>676</v>
      </c>
      <c r="L47" s="7" t="s">
        <v>1784</v>
      </c>
      <c r="M47" s="7" t="s">
        <v>1785</v>
      </c>
      <c r="N47" s="7" t="s">
        <v>264</v>
      </c>
      <c r="O47" s="7" t="s">
        <v>1786</v>
      </c>
      <c r="P47" s="7" t="s">
        <v>1777</v>
      </c>
      <c r="Q47" s="13"/>
      <c r="R47" s="13"/>
    </row>
    <row r="48" customFormat="false" ht="60" hidden="false" customHeight="true" outlineLevel="0" collapsed="false">
      <c r="A48" s="7" t="s">
        <v>38</v>
      </c>
      <c r="B48" s="15" t="s">
        <v>1602</v>
      </c>
      <c r="C48" s="7" t="s">
        <v>1787</v>
      </c>
      <c r="D48" s="7" t="s">
        <v>1725</v>
      </c>
      <c r="E48" s="7" t="s">
        <v>232</v>
      </c>
      <c r="F48" s="7" t="s">
        <v>1788</v>
      </c>
      <c r="G48" s="7" t="s">
        <v>1789</v>
      </c>
      <c r="H48" s="7" t="s">
        <v>1578</v>
      </c>
      <c r="I48" s="7" t="s">
        <v>1790</v>
      </c>
      <c r="J48" s="7" t="s">
        <v>1791</v>
      </c>
      <c r="K48" s="7" t="s">
        <v>232</v>
      </c>
      <c r="L48" s="7" t="s">
        <v>1788</v>
      </c>
      <c r="M48" s="7" t="s">
        <v>1792</v>
      </c>
      <c r="N48" s="7" t="s">
        <v>1578</v>
      </c>
      <c r="O48" s="7" t="s">
        <v>1793</v>
      </c>
      <c r="P48" s="7" t="s">
        <v>1794</v>
      </c>
      <c r="Q48" s="13"/>
      <c r="R48" s="13"/>
    </row>
    <row r="49" customFormat="false" ht="60" hidden="false" customHeight="true" outlineLevel="0" collapsed="false">
      <c r="A49" s="7" t="s">
        <v>38</v>
      </c>
      <c r="B49" s="15" t="s">
        <v>1602</v>
      </c>
      <c r="C49" s="7" t="s">
        <v>1795</v>
      </c>
      <c r="D49" s="7" t="s">
        <v>1725</v>
      </c>
      <c r="E49" s="7" t="s">
        <v>1581</v>
      </c>
      <c r="F49" s="7" t="s">
        <v>1796</v>
      </c>
      <c r="G49" s="7" t="s">
        <v>1797</v>
      </c>
      <c r="H49" s="7" t="s">
        <v>1578</v>
      </c>
      <c r="I49" s="7" t="s">
        <v>1798</v>
      </c>
      <c r="J49" s="7" t="s">
        <v>1791</v>
      </c>
      <c r="K49" s="7" t="s">
        <v>1581</v>
      </c>
      <c r="L49" s="7" t="s">
        <v>1796</v>
      </c>
      <c r="M49" s="7" t="s">
        <v>1799</v>
      </c>
      <c r="N49" s="7" t="s">
        <v>1578</v>
      </c>
      <c r="O49" s="7" t="s">
        <v>1793</v>
      </c>
      <c r="P49" s="7" t="s">
        <v>1794</v>
      </c>
      <c r="Q49" s="13"/>
      <c r="R49" s="13"/>
    </row>
    <row r="50" customFormat="false" ht="60" hidden="false" customHeight="true" outlineLevel="0" collapsed="false">
      <c r="A50" s="7" t="s">
        <v>38</v>
      </c>
      <c r="B50" s="15" t="s">
        <v>1602</v>
      </c>
      <c r="C50" s="7" t="s">
        <v>1795</v>
      </c>
      <c r="D50" s="7" t="s">
        <v>1725</v>
      </c>
      <c r="E50" s="7" t="s">
        <v>1041</v>
      </c>
      <c r="F50" s="7" t="s">
        <v>1800</v>
      </c>
      <c r="G50" s="7" t="s">
        <v>1801</v>
      </c>
      <c r="H50" s="7" t="s">
        <v>1578</v>
      </c>
      <c r="I50" s="7" t="s">
        <v>1798</v>
      </c>
      <c r="J50" s="7" t="s">
        <v>1791</v>
      </c>
      <c r="K50" s="7" t="s">
        <v>1041</v>
      </c>
      <c r="L50" s="7" t="s">
        <v>1800</v>
      </c>
      <c r="M50" s="7" t="s">
        <v>1802</v>
      </c>
      <c r="N50" s="7" t="s">
        <v>1578</v>
      </c>
      <c r="O50" s="7" t="s">
        <v>1793</v>
      </c>
      <c r="P50" s="7" t="s">
        <v>1794</v>
      </c>
      <c r="Q50" s="13"/>
      <c r="R50" s="13"/>
    </row>
    <row r="51" customFormat="false" ht="60" hidden="false" customHeight="true" outlineLevel="0" collapsed="false">
      <c r="A51" s="7" t="s">
        <v>38</v>
      </c>
      <c r="B51" s="15" t="s">
        <v>1602</v>
      </c>
      <c r="C51" s="7" t="s">
        <v>1795</v>
      </c>
      <c r="D51" s="7" t="s">
        <v>1725</v>
      </c>
      <c r="E51" s="7" t="s">
        <v>1040</v>
      </c>
      <c r="F51" s="7" t="s">
        <v>1803</v>
      </c>
      <c r="G51" s="7" t="s">
        <v>1804</v>
      </c>
      <c r="H51" s="7" t="s">
        <v>1578</v>
      </c>
      <c r="I51" s="7" t="s">
        <v>1798</v>
      </c>
      <c r="J51" s="7" t="s">
        <v>1791</v>
      </c>
      <c r="K51" s="7" t="s">
        <v>1040</v>
      </c>
      <c r="L51" s="7" t="s">
        <v>1803</v>
      </c>
      <c r="M51" s="7" t="s">
        <v>1805</v>
      </c>
      <c r="N51" s="7" t="s">
        <v>1578</v>
      </c>
      <c r="O51" s="7" t="s">
        <v>1793</v>
      </c>
      <c r="P51" s="7" t="s">
        <v>1794</v>
      </c>
      <c r="Q51" s="13"/>
      <c r="R51" s="13"/>
    </row>
    <row r="52" customFormat="false" ht="60" hidden="false" customHeight="true" outlineLevel="0" collapsed="false">
      <c r="A52" s="7" t="s">
        <v>38</v>
      </c>
      <c r="B52" s="15" t="s">
        <v>1602</v>
      </c>
      <c r="C52" s="7" t="s">
        <v>1795</v>
      </c>
      <c r="D52" s="7" t="s">
        <v>1725</v>
      </c>
      <c r="E52" s="7" t="s">
        <v>1593</v>
      </c>
      <c r="F52" s="7" t="s">
        <v>1806</v>
      </c>
      <c r="G52" s="7" t="s">
        <v>1807</v>
      </c>
      <c r="H52" s="7" t="s">
        <v>1578</v>
      </c>
      <c r="I52" s="7" t="s">
        <v>1808</v>
      </c>
      <c r="J52" s="7" t="s">
        <v>1791</v>
      </c>
      <c r="K52" s="7" t="s">
        <v>1593</v>
      </c>
      <c r="L52" s="7" t="s">
        <v>1806</v>
      </c>
      <c r="M52" s="7" t="s">
        <v>1809</v>
      </c>
      <c r="N52" s="7" t="s">
        <v>1578</v>
      </c>
      <c r="O52" s="7" t="s">
        <v>1810</v>
      </c>
      <c r="P52" s="7" t="s">
        <v>1794</v>
      </c>
      <c r="Q52" s="13"/>
      <c r="R52" s="13"/>
    </row>
    <row r="53" customFormat="false" ht="60" hidden="false" customHeight="true" outlineLevel="0" collapsed="false">
      <c r="A53" s="7" t="s">
        <v>38</v>
      </c>
      <c r="B53" s="15" t="s">
        <v>1602</v>
      </c>
      <c r="C53" s="7" t="s">
        <v>1733</v>
      </c>
      <c r="D53" s="7" t="s">
        <v>1604</v>
      </c>
      <c r="E53" s="7" t="s">
        <v>1598</v>
      </c>
      <c r="F53" s="7" t="s">
        <v>1811</v>
      </c>
      <c r="G53" s="7" t="s">
        <v>1812</v>
      </c>
      <c r="H53" s="7" t="s">
        <v>1578</v>
      </c>
      <c r="I53" s="7" t="s">
        <v>1813</v>
      </c>
      <c r="J53" s="7" t="s">
        <v>1791</v>
      </c>
      <c r="K53" s="7" t="s">
        <v>1598</v>
      </c>
      <c r="L53" s="7" t="s">
        <v>1814</v>
      </c>
      <c r="M53" s="7" t="s">
        <v>1815</v>
      </c>
      <c r="N53" s="7" t="s">
        <v>1578</v>
      </c>
      <c r="O53" s="7" t="s">
        <v>1816</v>
      </c>
      <c r="P53" s="7" t="s">
        <v>1794</v>
      </c>
      <c r="Q53" s="13"/>
      <c r="R53" s="13"/>
    </row>
    <row r="54" customFormat="false" ht="60" hidden="false" customHeight="true" outlineLevel="0" collapsed="false">
      <c r="A54" s="7" t="s">
        <v>38</v>
      </c>
      <c r="B54" s="12" t="s">
        <v>1575</v>
      </c>
      <c r="C54" s="7"/>
      <c r="D54" s="7"/>
      <c r="E54" s="7" t="s">
        <v>1605</v>
      </c>
      <c r="F54" s="7" t="s">
        <v>1817</v>
      </c>
      <c r="G54" s="7" t="s">
        <v>1818</v>
      </c>
      <c r="H54" s="7" t="s">
        <v>1578</v>
      </c>
      <c r="I54" s="7" t="s">
        <v>1819</v>
      </c>
      <c r="J54" s="7" t="s">
        <v>1791</v>
      </c>
      <c r="K54" s="7"/>
      <c r="L54" s="7"/>
      <c r="M54" s="7"/>
      <c r="N54" s="7"/>
      <c r="O54" s="7"/>
      <c r="P54" s="7"/>
      <c r="Q54" s="13"/>
      <c r="R54" s="13"/>
    </row>
    <row r="55" customFormat="false" ht="60" hidden="false" customHeight="true" outlineLevel="0" collapsed="false">
      <c r="A55" s="7" t="s">
        <v>38</v>
      </c>
      <c r="B55" s="12" t="s">
        <v>1575</v>
      </c>
      <c r="C55" s="7"/>
      <c r="D55" s="7"/>
      <c r="E55" s="7" t="s">
        <v>1616</v>
      </c>
      <c r="F55" s="7" t="s">
        <v>1820</v>
      </c>
      <c r="G55" s="7" t="s">
        <v>1821</v>
      </c>
      <c r="H55" s="7" t="s">
        <v>1578</v>
      </c>
      <c r="I55" s="7" t="s">
        <v>1819</v>
      </c>
      <c r="J55" s="7" t="s">
        <v>1791</v>
      </c>
      <c r="K55" s="7"/>
      <c r="L55" s="7"/>
      <c r="M55" s="7"/>
      <c r="N55" s="7"/>
      <c r="O55" s="7"/>
      <c r="P55" s="7"/>
      <c r="Q55" s="13"/>
      <c r="R55" s="13"/>
    </row>
    <row r="56" customFormat="false" ht="60" hidden="false" customHeight="true" outlineLevel="0" collapsed="false">
      <c r="A56" s="7" t="s">
        <v>38</v>
      </c>
      <c r="B56" s="15" t="s">
        <v>1602</v>
      </c>
      <c r="C56" s="7" t="s">
        <v>1744</v>
      </c>
      <c r="D56" s="7" t="s">
        <v>1822</v>
      </c>
      <c r="E56" s="7" t="s">
        <v>676</v>
      </c>
      <c r="F56" s="7" t="s">
        <v>1823</v>
      </c>
      <c r="G56" s="7" t="s">
        <v>1824</v>
      </c>
      <c r="H56" s="7" t="s">
        <v>1825</v>
      </c>
      <c r="I56" s="7" t="s">
        <v>1826</v>
      </c>
      <c r="J56" s="7" t="s">
        <v>1827</v>
      </c>
      <c r="K56" s="7" t="s">
        <v>1605</v>
      </c>
      <c r="L56" s="7" t="s">
        <v>1828</v>
      </c>
      <c r="M56" s="7" t="s">
        <v>1829</v>
      </c>
      <c r="N56" s="7" t="s">
        <v>1830</v>
      </c>
      <c r="O56" s="7" t="s">
        <v>1831</v>
      </c>
      <c r="P56" s="7" t="s">
        <v>1832</v>
      </c>
      <c r="Q56" s="13"/>
      <c r="R56" s="13"/>
    </row>
    <row r="57" customFormat="false" ht="60" hidden="false" customHeight="true" outlineLevel="0" collapsed="false">
      <c r="A57" s="7" t="s">
        <v>38</v>
      </c>
      <c r="B57" s="15" t="s">
        <v>1602</v>
      </c>
      <c r="C57" s="7" t="s">
        <v>1833</v>
      </c>
      <c r="D57" s="7" t="s">
        <v>1822</v>
      </c>
      <c r="E57" s="7" t="s">
        <v>286</v>
      </c>
      <c r="F57" s="7" t="s">
        <v>1834</v>
      </c>
      <c r="G57" s="7" t="s">
        <v>1835</v>
      </c>
      <c r="H57" s="7" t="s">
        <v>1825</v>
      </c>
      <c r="I57" s="7" t="s">
        <v>1836</v>
      </c>
      <c r="J57" s="7" t="s">
        <v>1827</v>
      </c>
      <c r="K57" s="7" t="s">
        <v>1616</v>
      </c>
      <c r="L57" s="7" t="s">
        <v>1837</v>
      </c>
      <c r="M57" s="7" t="s">
        <v>1838</v>
      </c>
      <c r="N57" s="7" t="s">
        <v>1830</v>
      </c>
      <c r="O57" s="7" t="s">
        <v>1839</v>
      </c>
      <c r="P57" s="7" t="s">
        <v>1832</v>
      </c>
      <c r="Q57" s="13"/>
      <c r="R57" s="13"/>
    </row>
    <row r="58" customFormat="false" ht="60" hidden="false" customHeight="true" outlineLevel="0" collapsed="false">
      <c r="A58" s="7" t="s">
        <v>38</v>
      </c>
      <c r="B58" s="15" t="s">
        <v>1602</v>
      </c>
      <c r="C58" s="7" t="s">
        <v>1840</v>
      </c>
      <c r="D58" s="7" t="s">
        <v>1822</v>
      </c>
      <c r="E58" s="7" t="s">
        <v>1641</v>
      </c>
      <c r="F58" s="7" t="s">
        <v>1841</v>
      </c>
      <c r="G58" s="7" t="s">
        <v>1842</v>
      </c>
      <c r="H58" s="7" t="s">
        <v>1825</v>
      </c>
      <c r="I58" s="7" t="s">
        <v>1843</v>
      </c>
      <c r="J58" s="7" t="s">
        <v>1827</v>
      </c>
      <c r="K58" s="7" t="s">
        <v>676</v>
      </c>
      <c r="L58" s="7" t="s">
        <v>1844</v>
      </c>
      <c r="M58" s="7" t="s">
        <v>1845</v>
      </c>
      <c r="N58" s="7" t="s">
        <v>1830</v>
      </c>
      <c r="O58" s="7" t="s">
        <v>1846</v>
      </c>
      <c r="P58" s="7" t="s">
        <v>1832</v>
      </c>
      <c r="Q58" s="13"/>
      <c r="R58" s="13"/>
    </row>
    <row r="59" customFormat="false" ht="60" hidden="false" customHeight="true" outlineLevel="0" collapsed="false">
      <c r="A59" s="7" t="s">
        <v>38</v>
      </c>
      <c r="B59" s="15" t="s">
        <v>1602</v>
      </c>
      <c r="C59" s="7" t="s">
        <v>1847</v>
      </c>
      <c r="D59" s="7" t="s">
        <v>1822</v>
      </c>
      <c r="E59" s="7" t="s">
        <v>272</v>
      </c>
      <c r="F59" s="7" t="s">
        <v>1848</v>
      </c>
      <c r="G59" s="7" t="s">
        <v>1849</v>
      </c>
      <c r="H59" s="7" t="s">
        <v>1825</v>
      </c>
      <c r="I59" s="7" t="s">
        <v>1843</v>
      </c>
      <c r="J59" s="7" t="s">
        <v>1827</v>
      </c>
      <c r="K59" s="7" t="s">
        <v>286</v>
      </c>
      <c r="L59" s="7" t="s">
        <v>1850</v>
      </c>
      <c r="M59" s="7" t="s">
        <v>1851</v>
      </c>
      <c r="N59" s="7" t="s">
        <v>1830</v>
      </c>
      <c r="O59" s="7" t="s">
        <v>1852</v>
      </c>
      <c r="P59" s="7" t="s">
        <v>1832</v>
      </c>
      <c r="Q59" s="13"/>
      <c r="R59" s="13"/>
    </row>
    <row r="60" customFormat="false" ht="60" hidden="false" customHeight="true" outlineLevel="0" collapsed="false">
      <c r="A60" s="7" t="s">
        <v>38</v>
      </c>
      <c r="B60" s="15" t="s">
        <v>1602</v>
      </c>
      <c r="C60" s="7" t="s">
        <v>1853</v>
      </c>
      <c r="D60" s="7" t="s">
        <v>1854</v>
      </c>
      <c r="E60" s="7" t="s">
        <v>871</v>
      </c>
      <c r="F60" s="7" t="s">
        <v>1855</v>
      </c>
      <c r="G60" s="7" t="s">
        <v>1856</v>
      </c>
      <c r="H60" s="7" t="s">
        <v>1825</v>
      </c>
      <c r="I60" s="7" t="s">
        <v>1857</v>
      </c>
      <c r="J60" s="7" t="s">
        <v>1858</v>
      </c>
      <c r="K60" s="7" t="s">
        <v>1641</v>
      </c>
      <c r="L60" s="7" t="s">
        <v>1859</v>
      </c>
      <c r="M60" s="7" t="s">
        <v>1860</v>
      </c>
      <c r="N60" s="7" t="s">
        <v>1830</v>
      </c>
      <c r="O60" s="7" t="s">
        <v>1861</v>
      </c>
      <c r="P60" s="7" t="s">
        <v>1862</v>
      </c>
      <c r="Q60" s="13"/>
      <c r="R60" s="13"/>
    </row>
    <row r="61" customFormat="false" ht="60" hidden="false" customHeight="true" outlineLevel="0" collapsed="false">
      <c r="A61" s="7" t="s">
        <v>38</v>
      </c>
      <c r="B61" s="12" t="s">
        <v>1575</v>
      </c>
      <c r="C61" s="7"/>
      <c r="D61" s="7"/>
      <c r="E61" s="7" t="s">
        <v>1654</v>
      </c>
      <c r="F61" s="7" t="s">
        <v>1863</v>
      </c>
      <c r="G61" s="7" t="s">
        <v>1864</v>
      </c>
      <c r="H61" s="7" t="s">
        <v>1825</v>
      </c>
      <c r="I61" s="7" t="s">
        <v>1865</v>
      </c>
      <c r="J61" s="7" t="s">
        <v>1858</v>
      </c>
      <c r="K61" s="7"/>
      <c r="L61" s="7"/>
      <c r="M61" s="7"/>
      <c r="N61" s="7"/>
      <c r="O61" s="7"/>
      <c r="P61" s="7"/>
      <c r="Q61" s="13"/>
      <c r="R61" s="13"/>
    </row>
    <row r="62" customFormat="false" ht="60" hidden="false" customHeight="true" outlineLevel="0" collapsed="false">
      <c r="A62" s="7" t="s">
        <v>38</v>
      </c>
      <c r="B62" s="12" t="s">
        <v>1575</v>
      </c>
      <c r="C62" s="7"/>
      <c r="D62" s="7"/>
      <c r="E62" s="7" t="s">
        <v>271</v>
      </c>
      <c r="F62" s="7" t="s">
        <v>1866</v>
      </c>
      <c r="G62" s="7" t="s">
        <v>1867</v>
      </c>
      <c r="H62" s="7" t="s">
        <v>1825</v>
      </c>
      <c r="I62" s="7" t="s">
        <v>1865</v>
      </c>
      <c r="J62" s="7" t="s">
        <v>1858</v>
      </c>
      <c r="K62" s="7"/>
      <c r="L62" s="7"/>
      <c r="M62" s="7"/>
      <c r="N62" s="7"/>
      <c r="O62" s="7"/>
      <c r="P62" s="7"/>
      <c r="Q62" s="13"/>
      <c r="R62" s="13"/>
    </row>
    <row r="63" customFormat="false" ht="60" hidden="false" customHeight="true" outlineLevel="0" collapsed="false">
      <c r="A63" s="7" t="s">
        <v>38</v>
      </c>
      <c r="B63" s="12" t="s">
        <v>1575</v>
      </c>
      <c r="C63" s="7"/>
      <c r="D63" s="7"/>
      <c r="E63" s="7" t="s">
        <v>1868</v>
      </c>
      <c r="F63" s="7" t="s">
        <v>1869</v>
      </c>
      <c r="G63" s="7" t="s">
        <v>1870</v>
      </c>
      <c r="H63" s="7" t="s">
        <v>1825</v>
      </c>
      <c r="I63" s="7" t="s">
        <v>1865</v>
      </c>
      <c r="J63" s="7" t="s">
        <v>1858</v>
      </c>
      <c r="K63" s="7"/>
      <c r="L63" s="7"/>
      <c r="M63" s="7"/>
      <c r="N63" s="7"/>
      <c r="O63" s="7"/>
      <c r="P63" s="7"/>
      <c r="Q63" s="13"/>
      <c r="R63" s="13"/>
    </row>
    <row r="64" customFormat="false" ht="60" hidden="false" customHeight="true" outlineLevel="0" collapsed="false">
      <c r="A64" s="7" t="s">
        <v>38</v>
      </c>
      <c r="B64" s="12" t="s">
        <v>1575</v>
      </c>
      <c r="C64" s="7"/>
      <c r="D64" s="7"/>
      <c r="E64" s="7" t="s">
        <v>1871</v>
      </c>
      <c r="F64" s="7" t="s">
        <v>1872</v>
      </c>
      <c r="G64" s="7" t="s">
        <v>1873</v>
      </c>
      <c r="H64" s="7" t="s">
        <v>1825</v>
      </c>
      <c r="I64" s="7" t="s">
        <v>1865</v>
      </c>
      <c r="J64" s="7" t="s">
        <v>1858</v>
      </c>
      <c r="K64" s="7"/>
      <c r="L64" s="7"/>
      <c r="M64" s="7"/>
      <c r="N64" s="7"/>
      <c r="O64" s="7"/>
      <c r="P64" s="7"/>
      <c r="Q64" s="13"/>
      <c r="R64" s="13"/>
    </row>
    <row r="65" customFormat="false" ht="60" hidden="false" customHeight="true" outlineLevel="0" collapsed="false">
      <c r="A65" s="7" t="s">
        <v>38</v>
      </c>
      <c r="B65" s="12" t="s">
        <v>1575</v>
      </c>
      <c r="C65" s="7"/>
      <c r="D65" s="7"/>
      <c r="E65" s="7" t="s">
        <v>1874</v>
      </c>
      <c r="F65" s="7" t="s">
        <v>1875</v>
      </c>
      <c r="G65" s="7" t="s">
        <v>1876</v>
      </c>
      <c r="H65" s="7" t="s">
        <v>1825</v>
      </c>
      <c r="I65" s="7" t="s">
        <v>1865</v>
      </c>
      <c r="J65" s="7" t="s">
        <v>1858</v>
      </c>
      <c r="K65" s="7"/>
      <c r="L65" s="7"/>
      <c r="M65" s="7"/>
      <c r="N65" s="7"/>
      <c r="O65" s="7"/>
      <c r="P65" s="7"/>
      <c r="Q65" s="13"/>
      <c r="R65" s="13"/>
    </row>
    <row r="66" customFormat="false" ht="60" hidden="false" customHeight="true" outlineLevel="0" collapsed="false">
      <c r="A66" s="7" t="s">
        <v>38</v>
      </c>
      <c r="B66" s="15" t="s">
        <v>1602</v>
      </c>
      <c r="C66" s="7" t="s">
        <v>1877</v>
      </c>
      <c r="D66" s="7" t="s">
        <v>1822</v>
      </c>
      <c r="E66" s="7" t="s">
        <v>1878</v>
      </c>
      <c r="F66" s="7" t="s">
        <v>1879</v>
      </c>
      <c r="G66" s="7" t="s">
        <v>1880</v>
      </c>
      <c r="H66" s="7" t="s">
        <v>1825</v>
      </c>
      <c r="I66" s="7" t="s">
        <v>1881</v>
      </c>
      <c r="J66" s="7" t="s">
        <v>1858</v>
      </c>
      <c r="K66" s="7" t="s">
        <v>272</v>
      </c>
      <c r="L66" s="7" t="s">
        <v>1882</v>
      </c>
      <c r="M66" s="7" t="s">
        <v>1883</v>
      </c>
      <c r="N66" s="7" t="s">
        <v>1830</v>
      </c>
      <c r="O66" s="7" t="s">
        <v>1884</v>
      </c>
      <c r="P66" s="7" t="s">
        <v>1862</v>
      </c>
      <c r="Q66" s="13"/>
      <c r="R66" s="13"/>
    </row>
    <row r="67" customFormat="false" ht="60" hidden="false" customHeight="true" outlineLevel="0" collapsed="false">
      <c r="A67" s="7" t="s">
        <v>38</v>
      </c>
      <c r="B67" s="12" t="s">
        <v>1575</v>
      </c>
      <c r="C67" s="7"/>
      <c r="D67" s="7"/>
      <c r="E67" s="7" t="s">
        <v>881</v>
      </c>
      <c r="F67" s="7" t="s">
        <v>1885</v>
      </c>
      <c r="G67" s="7" t="s">
        <v>1886</v>
      </c>
      <c r="H67" s="7" t="s">
        <v>1825</v>
      </c>
      <c r="I67" s="7" t="s">
        <v>1881</v>
      </c>
      <c r="J67" s="7" t="s">
        <v>1858</v>
      </c>
      <c r="K67" s="7"/>
      <c r="L67" s="7"/>
      <c r="M67" s="7"/>
      <c r="N67" s="7"/>
      <c r="O67" s="7"/>
      <c r="P67" s="7"/>
      <c r="Q67" s="13"/>
      <c r="R67" s="13"/>
    </row>
    <row r="68" customFormat="false" ht="60" hidden="false" customHeight="true" outlineLevel="0" collapsed="false">
      <c r="A68" s="7" t="s">
        <v>38</v>
      </c>
      <c r="B68" s="12" t="s">
        <v>1575</v>
      </c>
      <c r="C68" s="7"/>
      <c r="D68" s="7"/>
      <c r="E68" s="7" t="s">
        <v>287</v>
      </c>
      <c r="F68" s="7" t="s">
        <v>1887</v>
      </c>
      <c r="G68" s="7" t="s">
        <v>1888</v>
      </c>
      <c r="H68" s="7" t="s">
        <v>1825</v>
      </c>
      <c r="I68" s="7" t="s">
        <v>1889</v>
      </c>
      <c r="J68" s="7" t="s">
        <v>1858</v>
      </c>
      <c r="K68" s="7"/>
      <c r="L68" s="7"/>
      <c r="M68" s="7"/>
      <c r="N68" s="7"/>
      <c r="O68" s="7"/>
      <c r="P68" s="7"/>
      <c r="Q68" s="13"/>
      <c r="R68" s="13"/>
    </row>
    <row r="69" customFormat="false" ht="60" hidden="false" customHeight="true" outlineLevel="0" collapsed="false">
      <c r="A69" s="7" t="s">
        <v>38</v>
      </c>
      <c r="B69" s="12" t="s">
        <v>1575</v>
      </c>
      <c r="C69" s="7"/>
      <c r="D69" s="7"/>
      <c r="E69" s="7" t="s">
        <v>1890</v>
      </c>
      <c r="F69" s="7" t="s">
        <v>1891</v>
      </c>
      <c r="G69" s="7" t="s">
        <v>1892</v>
      </c>
      <c r="H69" s="7" t="s">
        <v>1825</v>
      </c>
      <c r="I69" s="7" t="s">
        <v>1881</v>
      </c>
      <c r="J69" s="7" t="s">
        <v>1858</v>
      </c>
      <c r="K69" s="7"/>
      <c r="L69" s="7"/>
      <c r="M69" s="7"/>
      <c r="N69" s="7"/>
      <c r="O69" s="7"/>
      <c r="P69" s="7"/>
      <c r="Q69" s="13"/>
      <c r="R69" s="13"/>
    </row>
    <row r="70" customFormat="false" ht="60" hidden="false" customHeight="true" outlineLevel="0" collapsed="false">
      <c r="A70" s="7" t="s">
        <v>38</v>
      </c>
      <c r="B70" s="12" t="s">
        <v>1575</v>
      </c>
      <c r="C70" s="7"/>
      <c r="D70" s="7"/>
      <c r="E70" s="7" t="s">
        <v>1893</v>
      </c>
      <c r="F70" s="7" t="s">
        <v>1894</v>
      </c>
      <c r="G70" s="7" t="s">
        <v>1895</v>
      </c>
      <c r="H70" s="7" t="s">
        <v>1825</v>
      </c>
      <c r="I70" s="7" t="s">
        <v>1881</v>
      </c>
      <c r="J70" s="7" t="s">
        <v>1858</v>
      </c>
      <c r="K70" s="7"/>
      <c r="L70" s="7"/>
      <c r="M70" s="7"/>
      <c r="N70" s="7"/>
      <c r="O70" s="7"/>
      <c r="P70" s="7"/>
      <c r="Q70" s="13"/>
      <c r="R70" s="13"/>
    </row>
    <row r="71" customFormat="false" ht="60" hidden="false" customHeight="true" outlineLevel="0" collapsed="false">
      <c r="A71" s="7" t="s">
        <v>38</v>
      </c>
      <c r="B71" s="12" t="s">
        <v>1575</v>
      </c>
      <c r="C71" s="7"/>
      <c r="D71" s="7"/>
      <c r="E71" s="7" t="s">
        <v>1704</v>
      </c>
      <c r="F71" s="7" t="s">
        <v>1896</v>
      </c>
      <c r="G71" s="7" t="s">
        <v>1897</v>
      </c>
      <c r="H71" s="7" t="s">
        <v>1825</v>
      </c>
      <c r="I71" s="7" t="s">
        <v>1898</v>
      </c>
      <c r="J71" s="7" t="s">
        <v>1858</v>
      </c>
      <c r="K71" s="7"/>
      <c r="L71" s="7"/>
      <c r="M71" s="7"/>
      <c r="N71" s="7"/>
      <c r="O71" s="7"/>
      <c r="P71" s="7"/>
      <c r="Q71" s="13"/>
      <c r="R71" s="13"/>
    </row>
    <row r="72" customFormat="false" ht="60" hidden="false" customHeight="true" outlineLevel="0" collapsed="false">
      <c r="A72" s="7" t="s">
        <v>38</v>
      </c>
      <c r="B72" s="15" t="s">
        <v>1602</v>
      </c>
      <c r="C72" s="7" t="s">
        <v>1733</v>
      </c>
      <c r="D72" s="7" t="s">
        <v>1822</v>
      </c>
      <c r="E72" s="7" t="s">
        <v>1899</v>
      </c>
      <c r="F72" s="7" t="s">
        <v>1900</v>
      </c>
      <c r="G72" s="7" t="s">
        <v>1892</v>
      </c>
      <c r="H72" s="7" t="s">
        <v>1825</v>
      </c>
      <c r="I72" s="7" t="s">
        <v>1901</v>
      </c>
      <c r="J72" s="7" t="s">
        <v>1858</v>
      </c>
      <c r="K72" s="7" t="s">
        <v>871</v>
      </c>
      <c r="L72" s="7" t="s">
        <v>1902</v>
      </c>
      <c r="M72" s="7" t="s">
        <v>1903</v>
      </c>
      <c r="N72" s="7" t="s">
        <v>1830</v>
      </c>
      <c r="O72" s="7" t="s">
        <v>1904</v>
      </c>
      <c r="P72" s="7" t="s">
        <v>1862</v>
      </c>
      <c r="Q72" s="13"/>
      <c r="R72" s="13"/>
    </row>
    <row r="73" customFormat="false" ht="60" hidden="false" customHeight="true" outlineLevel="0" collapsed="false">
      <c r="A73" s="7" t="s">
        <v>38</v>
      </c>
      <c r="B73" s="12" t="s">
        <v>1575</v>
      </c>
      <c r="C73" s="7"/>
      <c r="D73" s="7"/>
      <c r="E73" s="7" t="s">
        <v>1905</v>
      </c>
      <c r="F73" s="7" t="s">
        <v>1906</v>
      </c>
      <c r="G73" s="7" t="s">
        <v>1907</v>
      </c>
      <c r="H73" s="7" t="s">
        <v>1825</v>
      </c>
      <c r="I73" s="7" t="s">
        <v>1901</v>
      </c>
      <c r="J73" s="7" t="s">
        <v>1858</v>
      </c>
      <c r="K73" s="7"/>
      <c r="L73" s="7"/>
      <c r="M73" s="7"/>
      <c r="N73" s="7"/>
      <c r="O73" s="7"/>
      <c r="P73" s="7"/>
      <c r="Q73" s="13"/>
      <c r="R73" s="13"/>
    </row>
    <row r="74" customFormat="false" ht="60" hidden="false" customHeight="true" outlineLevel="0" collapsed="false">
      <c r="A74" s="7" t="s">
        <v>38</v>
      </c>
      <c r="B74" s="12" t="s">
        <v>1575</v>
      </c>
      <c r="C74" s="7"/>
      <c r="D74" s="7"/>
      <c r="E74" s="7" t="s">
        <v>1908</v>
      </c>
      <c r="F74" s="7" t="s">
        <v>1909</v>
      </c>
      <c r="G74" s="7" t="s">
        <v>1910</v>
      </c>
      <c r="H74" s="7" t="s">
        <v>1825</v>
      </c>
      <c r="I74" s="7" t="s">
        <v>1901</v>
      </c>
      <c r="J74" s="7" t="s">
        <v>1858</v>
      </c>
      <c r="K74" s="7"/>
      <c r="L74" s="7"/>
      <c r="M74" s="7"/>
      <c r="N74" s="7"/>
      <c r="O74" s="7"/>
      <c r="P74" s="7"/>
      <c r="Q74" s="13"/>
      <c r="R74" s="13"/>
    </row>
    <row r="75" customFormat="false" ht="60" hidden="false" customHeight="true" outlineLevel="0" collapsed="false">
      <c r="A75" s="7" t="s">
        <v>38</v>
      </c>
      <c r="B75" s="12" t="s">
        <v>1575</v>
      </c>
      <c r="C75" s="7"/>
      <c r="D75" s="7"/>
      <c r="E75" s="7" t="s">
        <v>1911</v>
      </c>
      <c r="F75" s="7" t="s">
        <v>1912</v>
      </c>
      <c r="G75" s="7" t="s">
        <v>1913</v>
      </c>
      <c r="H75" s="7" t="s">
        <v>1825</v>
      </c>
      <c r="I75" s="7" t="s">
        <v>1901</v>
      </c>
      <c r="J75" s="7" t="s">
        <v>1858</v>
      </c>
      <c r="K75" s="7"/>
      <c r="L75" s="7"/>
      <c r="M75" s="7"/>
      <c r="N75" s="7"/>
      <c r="O75" s="7"/>
      <c r="P75" s="7"/>
      <c r="Q75" s="13"/>
      <c r="R75" s="13"/>
    </row>
    <row r="76" customFormat="false" ht="60" hidden="false" customHeight="true" outlineLevel="0" collapsed="false">
      <c r="A76" s="7" t="s">
        <v>38</v>
      </c>
      <c r="B76" s="12" t="s">
        <v>1575</v>
      </c>
      <c r="C76" s="7"/>
      <c r="D76" s="7"/>
      <c r="E76" s="7" t="s">
        <v>870</v>
      </c>
      <c r="F76" s="7" t="s">
        <v>1914</v>
      </c>
      <c r="G76" s="7" t="s">
        <v>1915</v>
      </c>
      <c r="H76" s="7" t="s">
        <v>1825</v>
      </c>
      <c r="I76" s="7" t="s">
        <v>1901</v>
      </c>
      <c r="J76" s="7" t="s">
        <v>1858</v>
      </c>
      <c r="K76" s="7"/>
      <c r="L76" s="7"/>
      <c r="M76" s="7"/>
      <c r="N76" s="7"/>
      <c r="O76" s="7"/>
      <c r="P76" s="7"/>
      <c r="Q76" s="13"/>
      <c r="R76" s="13"/>
    </row>
    <row r="77" customFormat="false" ht="60" hidden="false" customHeight="true" outlineLevel="0" collapsed="false">
      <c r="A77" s="7" t="s">
        <v>39</v>
      </c>
      <c r="B77" s="15" t="s">
        <v>1602</v>
      </c>
      <c r="C77" s="7" t="s">
        <v>1916</v>
      </c>
      <c r="D77" s="7" t="s">
        <v>1725</v>
      </c>
      <c r="E77" s="7" t="s">
        <v>232</v>
      </c>
      <c r="F77" s="7" t="s">
        <v>1917</v>
      </c>
      <c r="G77" s="7" t="s">
        <v>1918</v>
      </c>
      <c r="H77" s="7" t="s">
        <v>1578</v>
      </c>
      <c r="I77" s="7" t="s">
        <v>1919</v>
      </c>
      <c r="J77" s="7" t="s">
        <v>1920</v>
      </c>
      <c r="K77" s="7" t="s">
        <v>232</v>
      </c>
      <c r="L77" s="7" t="s">
        <v>1921</v>
      </c>
      <c r="M77" s="7" t="s">
        <v>1922</v>
      </c>
      <c r="N77" s="7" t="s">
        <v>1578</v>
      </c>
      <c r="O77" s="7" t="s">
        <v>1923</v>
      </c>
      <c r="P77" s="7" t="s">
        <v>1924</v>
      </c>
      <c r="Q77" s="13"/>
      <c r="R77" s="13"/>
    </row>
    <row r="78" customFormat="false" ht="60" hidden="false" customHeight="true" outlineLevel="0" collapsed="false">
      <c r="A78" s="7" t="s">
        <v>39</v>
      </c>
      <c r="B78" s="15" t="s">
        <v>1602</v>
      </c>
      <c r="C78" s="7" t="s">
        <v>1916</v>
      </c>
      <c r="D78" s="7" t="s">
        <v>1725</v>
      </c>
      <c r="E78" s="7" t="s">
        <v>1581</v>
      </c>
      <c r="F78" s="7" t="s">
        <v>1925</v>
      </c>
      <c r="G78" s="7" t="s">
        <v>1926</v>
      </c>
      <c r="H78" s="7" t="s">
        <v>1578</v>
      </c>
      <c r="I78" s="7" t="s">
        <v>1927</v>
      </c>
      <c r="J78" s="7" t="s">
        <v>1928</v>
      </c>
      <c r="K78" s="7" t="s">
        <v>1041</v>
      </c>
      <c r="L78" s="7" t="s">
        <v>1929</v>
      </c>
      <c r="M78" s="7" t="s">
        <v>1930</v>
      </c>
      <c r="N78" s="7" t="s">
        <v>1578</v>
      </c>
      <c r="O78" s="7" t="s">
        <v>1931</v>
      </c>
      <c r="P78" s="7" t="s">
        <v>1932</v>
      </c>
      <c r="Q78" s="13"/>
      <c r="R78" s="13"/>
    </row>
    <row r="79" customFormat="false" ht="60" hidden="false" customHeight="true" outlineLevel="0" collapsed="false">
      <c r="A79" s="7" t="s">
        <v>39</v>
      </c>
      <c r="B79" s="15" t="s">
        <v>1602</v>
      </c>
      <c r="C79" s="7" t="s">
        <v>1750</v>
      </c>
      <c r="D79" s="7" t="s">
        <v>1604</v>
      </c>
      <c r="E79" s="7" t="s">
        <v>1041</v>
      </c>
      <c r="F79" s="7" t="s">
        <v>1933</v>
      </c>
      <c r="G79" s="7" t="s">
        <v>1934</v>
      </c>
      <c r="H79" s="7" t="s">
        <v>1935</v>
      </c>
      <c r="I79" s="7" t="s">
        <v>1936</v>
      </c>
      <c r="J79" s="7" t="s">
        <v>1928</v>
      </c>
      <c r="K79" s="7" t="s">
        <v>1581</v>
      </c>
      <c r="L79" s="7" t="s">
        <v>1937</v>
      </c>
      <c r="M79" s="7" t="s">
        <v>1938</v>
      </c>
      <c r="N79" s="7" t="s">
        <v>1935</v>
      </c>
      <c r="O79" s="7" t="s">
        <v>1939</v>
      </c>
      <c r="P79" s="7" t="s">
        <v>1932</v>
      </c>
      <c r="Q79" s="13"/>
      <c r="R79" s="13"/>
    </row>
    <row r="80" customFormat="false" ht="60" hidden="false" customHeight="true" outlineLevel="0" collapsed="false">
      <c r="A80" s="7" t="s">
        <v>39</v>
      </c>
      <c r="B80" s="12" t="s">
        <v>1575</v>
      </c>
      <c r="C80" s="7"/>
      <c r="D80" s="7"/>
      <c r="E80" s="7" t="s">
        <v>1040</v>
      </c>
      <c r="F80" s="7" t="s">
        <v>1940</v>
      </c>
      <c r="G80" s="7" t="s">
        <v>1941</v>
      </c>
      <c r="H80" s="7" t="s">
        <v>1935</v>
      </c>
      <c r="I80" s="7" t="s">
        <v>1942</v>
      </c>
      <c r="J80" s="7" t="s">
        <v>1928</v>
      </c>
      <c r="K80" s="7"/>
      <c r="L80" s="7"/>
      <c r="M80" s="7"/>
      <c r="N80" s="7"/>
      <c r="O80" s="7"/>
      <c r="P80" s="7"/>
      <c r="Q80" s="13"/>
      <c r="R80" s="13"/>
    </row>
  </sheetData>
  <autoFilter ref="A1:R80"/>
  <dataValidations count="1">
    <dataValidation allowBlank="true" errorStyle="stop" operator="between" showDropDown="false" showErrorMessage="false" showInputMessage="false" sqref="Q2:Q80" type="list">
      <formula1>"Keep (agreed),Keep R1,Keep R2,Keep both,Merge,Drop"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30"/>
    <col collapsed="false" customWidth="true" hidden="false" outlineLevel="0" max="166" min="4" style="0" width="14"/>
  </cols>
  <sheetData>
    <row r="1" customFormat="false" ht="90.25" hidden="false" customHeight="false" outlineLevel="0" collapsed="false">
      <c r="A1" s="6" t="s">
        <v>1943</v>
      </c>
      <c r="B1" s="6" t="s">
        <v>1944</v>
      </c>
      <c r="C1" s="6" t="s">
        <v>1945</v>
      </c>
      <c r="D1" s="6" t="s">
        <v>1946</v>
      </c>
      <c r="E1" s="6" t="s">
        <v>1947</v>
      </c>
      <c r="F1" s="6" t="s">
        <v>1948</v>
      </c>
      <c r="G1" s="6" t="s">
        <v>1949</v>
      </c>
      <c r="H1" s="6" t="s">
        <v>1950</v>
      </c>
      <c r="I1" s="6" t="s">
        <v>1951</v>
      </c>
      <c r="J1" s="6" t="s">
        <v>1952</v>
      </c>
      <c r="K1" s="6" t="s">
        <v>1953</v>
      </c>
      <c r="L1" s="6" t="s">
        <v>1954</v>
      </c>
      <c r="M1" s="6" t="s">
        <v>1955</v>
      </c>
      <c r="N1" s="6" t="s">
        <v>1956</v>
      </c>
      <c r="O1" s="6" t="s">
        <v>1957</v>
      </c>
      <c r="P1" s="6" t="s">
        <v>1958</v>
      </c>
      <c r="Q1" s="6" t="s">
        <v>1959</v>
      </c>
      <c r="R1" s="6" t="s">
        <v>1960</v>
      </c>
      <c r="S1" s="6" t="s">
        <v>1961</v>
      </c>
      <c r="T1" s="6" t="s">
        <v>1962</v>
      </c>
      <c r="U1" s="6" t="s">
        <v>1963</v>
      </c>
      <c r="V1" s="6" t="s">
        <v>1964</v>
      </c>
      <c r="W1" s="6" t="s">
        <v>1965</v>
      </c>
      <c r="X1" s="6" t="s">
        <v>1966</v>
      </c>
      <c r="Y1" s="6" t="s">
        <v>1967</v>
      </c>
      <c r="Z1" s="6" t="s">
        <v>1968</v>
      </c>
      <c r="AA1" s="6" t="s">
        <v>1969</v>
      </c>
      <c r="AB1" s="6" t="s">
        <v>1970</v>
      </c>
      <c r="AC1" s="6" t="s">
        <v>1971</v>
      </c>
      <c r="AD1" s="6" t="s">
        <v>1972</v>
      </c>
      <c r="AE1" s="6" t="s">
        <v>1973</v>
      </c>
      <c r="AF1" s="6" t="s">
        <v>1974</v>
      </c>
      <c r="AG1" s="6" t="s">
        <v>1975</v>
      </c>
      <c r="AH1" s="6" t="s">
        <v>1976</v>
      </c>
      <c r="AI1" s="6" t="s">
        <v>1977</v>
      </c>
      <c r="AJ1" s="6" t="s">
        <v>1978</v>
      </c>
      <c r="AK1" s="6" t="s">
        <v>1979</v>
      </c>
      <c r="AL1" s="6" t="s">
        <v>1980</v>
      </c>
      <c r="AM1" s="6" t="s">
        <v>1981</v>
      </c>
      <c r="AN1" s="6" t="s">
        <v>1982</v>
      </c>
      <c r="AO1" s="6" t="s">
        <v>1983</v>
      </c>
      <c r="AP1" s="6" t="s">
        <v>1984</v>
      </c>
      <c r="AQ1" s="6" t="s">
        <v>1985</v>
      </c>
      <c r="AR1" s="6" t="s">
        <v>1986</v>
      </c>
      <c r="AS1" s="6" t="s">
        <v>1987</v>
      </c>
      <c r="AT1" s="6" t="s">
        <v>1988</v>
      </c>
      <c r="AU1" s="6" t="s">
        <v>1989</v>
      </c>
      <c r="AV1" s="6" t="s">
        <v>1990</v>
      </c>
      <c r="AW1" s="6" t="s">
        <v>1991</v>
      </c>
      <c r="AX1" s="6" t="s">
        <v>1992</v>
      </c>
      <c r="AY1" s="6" t="s">
        <v>1993</v>
      </c>
      <c r="AZ1" s="6" t="s">
        <v>1994</v>
      </c>
      <c r="BA1" s="6" t="s">
        <v>1995</v>
      </c>
      <c r="BB1" s="6" t="s">
        <v>1996</v>
      </c>
      <c r="BC1" s="6" t="s">
        <v>1997</v>
      </c>
      <c r="BD1" s="6" t="s">
        <v>1998</v>
      </c>
      <c r="BE1" s="6" t="s">
        <v>1999</v>
      </c>
      <c r="BF1" s="6" t="s">
        <v>2000</v>
      </c>
      <c r="BG1" s="6" t="s">
        <v>2001</v>
      </c>
      <c r="BH1" s="6" t="s">
        <v>2002</v>
      </c>
      <c r="BI1" s="6" t="s">
        <v>2003</v>
      </c>
      <c r="BJ1" s="6" t="s">
        <v>2004</v>
      </c>
      <c r="BK1" s="6" t="s">
        <v>2005</v>
      </c>
      <c r="BL1" s="6" t="s">
        <v>2006</v>
      </c>
      <c r="BM1" s="6" t="s">
        <v>2007</v>
      </c>
      <c r="BN1" s="6" t="s">
        <v>2008</v>
      </c>
      <c r="BO1" s="6" t="s">
        <v>2009</v>
      </c>
      <c r="BP1" s="6" t="s">
        <v>2010</v>
      </c>
      <c r="BQ1" s="6" t="s">
        <v>2011</v>
      </c>
      <c r="BR1" s="6" t="s">
        <v>2012</v>
      </c>
      <c r="BS1" s="6" t="s">
        <v>2013</v>
      </c>
      <c r="BT1" s="6" t="s">
        <v>2014</v>
      </c>
      <c r="BU1" s="6" t="s">
        <v>2015</v>
      </c>
      <c r="BV1" s="6" t="s">
        <v>2016</v>
      </c>
      <c r="BW1" s="6" t="s">
        <v>2017</v>
      </c>
      <c r="BX1" s="6" t="s">
        <v>2018</v>
      </c>
      <c r="BY1" s="6" t="s">
        <v>2019</v>
      </c>
      <c r="BZ1" s="6" t="s">
        <v>2020</v>
      </c>
      <c r="CA1" s="6" t="s">
        <v>2021</v>
      </c>
      <c r="CB1" s="6" t="s">
        <v>2022</v>
      </c>
      <c r="CC1" s="6" t="s">
        <v>2023</v>
      </c>
      <c r="CD1" s="6" t="s">
        <v>2024</v>
      </c>
      <c r="CE1" s="6" t="s">
        <v>2025</v>
      </c>
      <c r="CF1" s="6" t="s">
        <v>2026</v>
      </c>
      <c r="CG1" s="6" t="s">
        <v>2027</v>
      </c>
      <c r="CH1" s="6" t="s">
        <v>2028</v>
      </c>
      <c r="CI1" s="6" t="s">
        <v>2029</v>
      </c>
      <c r="CJ1" s="6" t="s">
        <v>2030</v>
      </c>
      <c r="CK1" s="6" t="s">
        <v>2031</v>
      </c>
      <c r="CL1" s="6" t="s">
        <v>2032</v>
      </c>
      <c r="CM1" s="6" t="s">
        <v>2033</v>
      </c>
      <c r="CN1" s="6" t="s">
        <v>2034</v>
      </c>
      <c r="CO1" s="6" t="s">
        <v>2035</v>
      </c>
      <c r="CP1" s="6" t="s">
        <v>2036</v>
      </c>
      <c r="CQ1" s="6" t="s">
        <v>2037</v>
      </c>
      <c r="CR1" s="6" t="s">
        <v>2038</v>
      </c>
      <c r="CS1" s="6" t="s">
        <v>2039</v>
      </c>
      <c r="CT1" s="6" t="s">
        <v>2040</v>
      </c>
      <c r="CU1" s="6" t="s">
        <v>2041</v>
      </c>
      <c r="CV1" s="6" t="s">
        <v>2042</v>
      </c>
      <c r="CW1" s="6" t="s">
        <v>2043</v>
      </c>
      <c r="CX1" s="6" t="s">
        <v>2044</v>
      </c>
      <c r="CY1" s="6" t="s">
        <v>2045</v>
      </c>
      <c r="CZ1" s="6" t="s">
        <v>126</v>
      </c>
      <c r="DA1" s="6" t="s">
        <v>2046</v>
      </c>
      <c r="DB1" s="6" t="s">
        <v>2047</v>
      </c>
      <c r="DC1" s="6" t="s">
        <v>2048</v>
      </c>
      <c r="DD1" s="6" t="s">
        <v>2049</v>
      </c>
      <c r="DE1" s="6" t="s">
        <v>2050</v>
      </c>
      <c r="DF1" s="6" t="s">
        <v>2051</v>
      </c>
      <c r="DG1" s="6" t="s">
        <v>2052</v>
      </c>
      <c r="DH1" s="6" t="s">
        <v>2053</v>
      </c>
      <c r="DI1" s="6" t="s">
        <v>2054</v>
      </c>
      <c r="DJ1" s="6" t="s">
        <v>2055</v>
      </c>
      <c r="DK1" s="6" t="s">
        <v>2056</v>
      </c>
      <c r="DL1" s="6" t="s">
        <v>2057</v>
      </c>
      <c r="DM1" s="6" t="s">
        <v>2058</v>
      </c>
      <c r="DN1" s="6" t="s">
        <v>2059</v>
      </c>
      <c r="DO1" s="6" t="s">
        <v>2060</v>
      </c>
      <c r="DP1" s="6" t="s">
        <v>2061</v>
      </c>
      <c r="DQ1" s="6" t="s">
        <v>2062</v>
      </c>
      <c r="DR1" s="6" t="s">
        <v>2063</v>
      </c>
      <c r="DS1" s="6" t="s">
        <v>2064</v>
      </c>
      <c r="DT1" s="6" t="s">
        <v>2065</v>
      </c>
      <c r="DU1" s="6" t="s">
        <v>2066</v>
      </c>
      <c r="DV1" s="6" t="s">
        <v>2067</v>
      </c>
      <c r="DW1" s="6" t="s">
        <v>2068</v>
      </c>
      <c r="DX1" s="6" t="s">
        <v>2069</v>
      </c>
      <c r="DY1" s="6" t="s">
        <v>2070</v>
      </c>
      <c r="DZ1" s="6" t="s">
        <v>2071</v>
      </c>
      <c r="EA1" s="6" t="s">
        <v>2072</v>
      </c>
      <c r="EB1" s="6" t="s">
        <v>2073</v>
      </c>
      <c r="EC1" s="6" t="s">
        <v>2074</v>
      </c>
      <c r="ED1" s="6" t="s">
        <v>2075</v>
      </c>
      <c r="EE1" s="6" t="s">
        <v>2076</v>
      </c>
      <c r="EF1" s="6" t="s">
        <v>2077</v>
      </c>
      <c r="EG1" s="6" t="s">
        <v>2078</v>
      </c>
      <c r="EH1" s="6" t="s">
        <v>2079</v>
      </c>
      <c r="EI1" s="6" t="s">
        <v>2080</v>
      </c>
      <c r="EJ1" s="6" t="s">
        <v>2081</v>
      </c>
      <c r="EK1" s="6" t="s">
        <v>2082</v>
      </c>
      <c r="EL1" s="6" t="s">
        <v>2083</v>
      </c>
      <c r="EM1" s="6" t="s">
        <v>2084</v>
      </c>
      <c r="EN1" s="6" t="s">
        <v>2085</v>
      </c>
      <c r="EO1" s="6" t="s">
        <v>2086</v>
      </c>
      <c r="EP1" s="6" t="s">
        <v>2087</v>
      </c>
      <c r="EQ1" s="6" t="s">
        <v>2088</v>
      </c>
      <c r="ER1" s="6" t="s">
        <v>2089</v>
      </c>
      <c r="ES1" s="6" t="s">
        <v>2090</v>
      </c>
      <c r="ET1" s="6" t="s">
        <v>2091</v>
      </c>
      <c r="EU1" s="6" t="s">
        <v>2092</v>
      </c>
      <c r="EV1" s="6" t="s">
        <v>2093</v>
      </c>
      <c r="EW1" s="6" t="s">
        <v>2094</v>
      </c>
      <c r="EX1" s="6" t="s">
        <v>2095</v>
      </c>
      <c r="EY1" s="6" t="s">
        <v>2096</v>
      </c>
      <c r="EZ1" s="6" t="s">
        <v>2097</v>
      </c>
      <c r="FA1" s="6" t="s">
        <v>2098</v>
      </c>
      <c r="FB1" s="6" t="s">
        <v>2099</v>
      </c>
      <c r="FC1" s="6" t="s">
        <v>2100</v>
      </c>
      <c r="FD1" s="6" t="s">
        <v>2101</v>
      </c>
      <c r="FE1" s="6" t="s">
        <v>2102</v>
      </c>
      <c r="FF1" s="6" t="s">
        <v>2103</v>
      </c>
      <c r="FG1" s="6" t="s">
        <v>2104</v>
      </c>
      <c r="FH1" s="6" t="s">
        <v>2105</v>
      </c>
      <c r="FI1" s="6" t="s">
        <v>2106</v>
      </c>
      <c r="FJ1" s="6" t="s">
        <v>2107</v>
      </c>
    </row>
    <row r="2" customFormat="false" ht="60" hidden="false" customHeight="true" outlineLevel="0" collapsed="false">
      <c r="A2" s="7" t="s">
        <v>2108</v>
      </c>
      <c r="B2" s="7" t="s">
        <v>2109</v>
      </c>
      <c r="C2" s="7" t="s">
        <v>2110</v>
      </c>
      <c r="D2" s="16" t="s">
        <v>2111</v>
      </c>
      <c r="E2" s="14"/>
      <c r="F2" s="14" t="s">
        <v>2110</v>
      </c>
      <c r="G2" s="14" t="s">
        <v>2109</v>
      </c>
      <c r="H2" s="14" t="s">
        <v>2112</v>
      </c>
      <c r="I2" s="14" t="s">
        <v>2113</v>
      </c>
      <c r="J2" s="14" t="s">
        <v>2114</v>
      </c>
      <c r="K2" s="14" t="s">
        <v>2115</v>
      </c>
      <c r="L2" s="14" t="s">
        <v>2116</v>
      </c>
      <c r="M2" s="14" t="s">
        <v>2117</v>
      </c>
      <c r="N2" s="14" t="s">
        <v>2118</v>
      </c>
      <c r="O2" s="14" t="s">
        <v>2119</v>
      </c>
      <c r="P2" s="14" t="s">
        <v>2120</v>
      </c>
      <c r="Q2" s="14" t="s">
        <v>231</v>
      </c>
      <c r="R2" s="12" t="str">
        <f aca="false">IF(Comparison!$N$2="Resolved",IF(Comparison!$L$2="","",Comparison!$L$2),"⚠ UNRESOLVED")</f>
        <v>evaluation-research</v>
      </c>
      <c r="S2" s="15" t="str">
        <f aca="false">IF(Comparison!$M$2="","[R1] "&amp;Comparison!$J$2&amp;CHAR(10)&amp;CHAR(10)&amp;"[R2] "&amp;Comparison!$K$2,Comparison!$M$2)</f>
        <v>Case A is derived from real data, therefore industrial case study which fulfills the requirement under the clause “industrial case study”</v>
      </c>
      <c r="T2" s="14" t="s">
        <v>2121</v>
      </c>
      <c r="U2" s="15" t="s">
        <v>2122</v>
      </c>
      <c r="V2" s="12" t="str">
        <f aca="false">IF(Comparison!$N$3="Resolved",IF(Comparison!$L$3="","",Comparison!$L$3),"⚠ UNRESOLVED")</f>
        <v>Automotive manufacturing</v>
      </c>
      <c r="W2" s="15" t="str">
        <f aca="false">IF(Comparison!$M$3="","[R1] "&amp;Comparison!$J$3&amp;CHAR(10)&amp;CHAR(10)&amp;"[R2] "&amp;Comparison!$K$3,Comparison!$M$3)</f>
        <v>[R1] The cases come from "a large Swedish automotive manufacturer" (Sec. 1, Sec. 4.2). The affiliations name Scania CV AB.
[R2] The paper explicitly states that the case studies are from 'a large Swedish automotive manufacturer' (identified as Scania CV AB in the author affiliations and abstract). The context is 'manufacturing industries' and 'production systems'. See Section 1 (Introduction) and Section 4.2 (Use case and data collection).</v>
      </c>
      <c r="X2" s="12" t="str">
        <f aca="false">IF(Comparison!$N$4="Resolved",IF(Comparison!$L$4="","",Comparison!$L$4),"⚠ UNRESOLVED")</f>
        <v>Discrete-event simulation of production lines for capacity and energy-efficiency assessment (Case A: an automated machining line with 4 serial operations; Case B: an automated assembly line with 7 operations including parallel presses)</v>
      </c>
      <c r="Y2" s="15" t="str">
        <f aca="false">IF(Comparison!$M$4="","[R1] "&amp;Comparison!$J$4&amp;CHAR(10)&amp;CHAR(10)&amp;"[R2] "&amp;Comparison!$K$4,Comparison!$M$4)</f>
        <v>[R1] Sec. 4.4 and Sec. 5 describe "an automated assembly line and an automated machining line". Sec. 5.3 describes Case A as four sequential operations. Sec. 5.4 describes Case B as seven machines with two parallel presses. The KPIs were TH, WIP and SEC (Sec. 4.2).
[R2] The core domain is the automation of Discrete-Event Simulation (DES) modeling for manufacturing systems. The specific application areas are capacity analysis, energy efficiency assessment, and bottleneck identification in production lines (machining and assembly). See Abstract and Section 2.2 (Manufacturing system simulation).</v>
      </c>
      <c r="Z2" s="14" t="s">
        <v>2123</v>
      </c>
      <c r="AA2" s="15" t="s">
        <v>2124</v>
      </c>
      <c r="AB2" s="14" t="s">
        <v>2125</v>
      </c>
      <c r="AC2" s="15" t="s">
        <v>2126</v>
      </c>
      <c r="AD2" s="14" t="s">
        <v>2127</v>
      </c>
      <c r="AE2" s="14"/>
      <c r="AF2" s="15" t="s">
        <v>2128</v>
      </c>
      <c r="AG2" s="14" t="s">
        <v>2129</v>
      </c>
      <c r="AH2" s="15" t="s">
        <v>2130</v>
      </c>
      <c r="AI2" s="12" t="str">
        <f aca="false">IF(Comparison!$N$5="Resolved",IF(Comparison!$L$5="","",Comparison!$L$5),"⚠ UNRESOLVED")</f>
        <v>3-concept-planning; 4-detailed-planning</v>
      </c>
      <c r="AJ2" s="15" t="str">
        <f aca="false">IF(Comparison!$M$5="","[R1] "&amp;Comparison!$J$5&amp;CHAR(10)&amp;CHAR(10)&amp;"[R2] "&amp;Comparison!$K$5,Comparison!$M$5)</f>
        <v>[R1] VDI 5200 is not referenced. The method evaluates line variants via simulation: structural changes such as adding a parallel station, and buffer dimensioning (Sec. 4.3.3). This fits concept-planning dimensioning and variant evaluation as well as detailed-planning parameter refinement. The mapping is uncertain (?) because the study concerns improvement of existing lines rather than a new factory planning project. Implementation in production is explicitly out of scope (Fig. 1 caption).
[R2] The method supports evaluating different configurations (e.g., buffer sizes, parallel stations) to determine the best improvement. This is a conceptual evaluation of system variants, aligning with VDI 5200 Phase 3 (Konzeptplanung). It is not Phase 4 (Detailplanung) as it doesn't produce detailed engineering drawings or specific component specs, nor Phase 1/2 as the objectives and basis are already defined by the case studies.</v>
      </c>
      <c r="AK2" s="14" t="s">
        <v>799</v>
      </c>
      <c r="AL2" s="15" t="s">
        <v>2131</v>
      </c>
      <c r="AM2" s="14" t="s">
        <v>264</v>
      </c>
      <c r="AN2" s="12" t="str">
        <f aca="false">IF(Comparison!$N$6="Resolved",IF(Comparison!$L$6="","",Comparison!$L$6),"⚠ UNRESOLVED")</f>
        <v>Strategic; Tactical</v>
      </c>
      <c r="AO2" s="15" t="str">
        <f aca="false">IF(Comparison!$M$6="","[R1] "&amp;Comparison!$J$6&amp;CHAR(10)&amp;CHAR(10)&amp;"[R2] "&amp;Comparison!$K$6,Comparison!$M$6)</f>
        <v>[R1] No horizon statements appear in the paper; the tiers are reviewer judgement. Strategic: structural changes determine what exists, e.g. 'Add a third parallel press with its own pre-buffer instance' (Fig. 14) and buffer capacity increases (Fig. 7, 14). Tactical: parametric improvements of existing machines, such as availability, cycle time, MTTR and defect rate (Table 5, Table 7). The strategic tier is borderline (?) because the decisions concern line-level modification within an existing plant.
[R2] The method supports decisions that configure the system structure, such as adding or removing operations (structural adaptations) and changing buffer capacities. According to the schema definition, 'Strategic' is selected iff system_configuring_decision is true. These decisions determine what exists in the system (e.g., number of parallel presses), which is a system configuration decision.</v>
      </c>
      <c r="AP2" s="12" t="str">
        <f aca="false">IF(Comparison!$N$7="Resolved",IF(Comparison!$L$7="","",Comparison!$L$7),"⚠ UNRESOLVED")</f>
        <v/>
      </c>
      <c r="AQ2" s="15" t="str">
        <f aca="false">IF(Comparison!$M$7="","[R1] "&amp;Comparison!$J$7&amp;CHAR(10)&amp;CHAR(10)&amp;"[R2] "&amp;Comparison!$K$7,Comparison!$M$7)</f>
        <v>[R1] No claim found. The authors speak of 'decision support', 'process improvements' and 'scenario exploration' but do not label the work strategic, tactical or operational.
[R2] The authors frame the work as supporting 'decision support' for 'process improvements' and 'capacity and energy efficiency assessments' (Abstract, Section 1). They discuss 'brownfield' cases and 'conceptual greenfield models' (Section 6.3), implying a focus on optimizing existing or near-term configurations. While they don't explicitly use the word 'strategic', the nature of the tasks (structural changes like adding machines) aligns with the strategic tier of system configuration in the context of the schema's definitions.</v>
      </c>
      <c r="AR2" s="14" t="s">
        <v>232</v>
      </c>
      <c r="AS2" s="15" t="s">
        <v>2132</v>
      </c>
      <c r="AT2" s="12" t="str">
        <f aca="false">IF(Comparison!$N$8="Resolved",IF(Comparison!$L$8="","",Comparison!$L$8),"⚠ UNRESOLVED")</f>
        <v>FALSE</v>
      </c>
      <c r="AU2" s="15" t="str">
        <f aca="false">IF(Comparison!$M$8="","[R1] "&amp;Comparison!$J$8&amp;CHAR(10)&amp;CHAR(10)&amp;"[R2] "&amp;Comparison!$K$8,Comparison!$M$8)</f>
        <v>[R1] No statement found that frames the decision as designing or configuring the system. The authors describe 'adaptations' of simulation models and 'process improvements' (Sec. 4.3.3) for 'decision support'.
[R2] Section 4.3.3 states: 'Adaptations fall into one of three 'complexity' levels; ... (ii) intermediate complexity for structural adaptations (e.g., adding or removing operations)'. Section 5.4.3 describes implementing a suggestion to 'Add a third parallel press'. This explicitly frames the decision as configuring the system structure.</v>
      </c>
      <c r="AV2" s="12" t="str">
        <f aca="false">IF(Comparison!$N$9="Resolved",IF(Comparison!$L$9="","",Comparison!$L$9),"⚠ UNRESOLVED")</f>
        <v>Evaluation of line modifications: adding a third parallel press with a pre-buffer (Case B) and changing buffer capacities around bottlenecks (Cases A and B), assessed on throughput, WIP and specific energy consumption.</v>
      </c>
      <c r="AW2" s="14" t="s">
        <v>467</v>
      </c>
      <c r="AX2" s="15" t="s">
        <v>2133</v>
      </c>
      <c r="AY2" s="15" t="s">
        <v>2134</v>
      </c>
      <c r="AZ2" s="14"/>
      <c r="BA2" s="12" t="str">
        <f aca="false">IF(Comparison!$N$10="Resolved",IF(Comparison!$L$10="","",Comparison!$L$10),"⚠ UNRESOLVED")</f>
        <v>An end-to-end LLM-driven workflow, implemented with Python scripts and several fixed LLM API calls, automates discrete-event simulation (DES) modeling for capacity and energy-efficiency assessment of manufacturing lines. Input data (MES event logs, power ratings, defects, critical process definitions (CPDs), production calendar) are first pre-processed with static Python code and PM4Py, without an LLM. The LLM roles are:- Builder-agent (GPT-5.1): adapts a generic SimPy blueprint model into an executable current-state Python simulation model, using the structured production parameters and natural-language instructions.- Inspector-agent: verifies and repairs the generated code.- Visualizer-agent (GPT-5-mini): translates the Python model into Mermaid/JavaScript flow charts for visual inspection.- Bottleneck-agent (GPT-4o, structured JSON output): turns the utilization-based bottleneck ranking into improvement suggestions.- CPD-agent (GPT-5-mini): checks the suggestions against CPD constraints and issues warnings.- Adaptor-agent (GPT-5-mini, one instance per suggestion): produces N adapted models, each checked and repaired by the inspector-agent.- Evaluator-agent (GPT-5-mini): compares the KPIs (throughput, WIP, specific energy consumption) of the baseline and adapted models and writes textual decision-support recommendations with trade-offs.Human-in-the-loop checkpoints are: mandatory inspection and repair of the initial model, an optional extra improvement suggestion, and mandatory verification of the results. The workflow was evaluated over 21 runs on two real automotive production lines (Case A: 10 runs; Case B: 11 runs). Validation compared outputs against FACTS Analyzer models.</v>
      </c>
      <c r="BB2" s="14" t="s">
        <v>2135</v>
      </c>
      <c r="BC2" s="15" t="s">
        <v>2136</v>
      </c>
      <c r="BD2" s="12" t="str">
        <f aca="false">IF(Comparison!$N$11="Resolved",IF(Comparison!$L$11="","",Comparison!$L$11),"⚠ UNRESOLVED")</f>
        <v>GPT-5.1 handles the most demanding tasks: model generation (builder-agent) and the inspector-agent for the initial model. GPT-5-mini handles the cost-efficient tasks: flow-chart conversion (visualizer-agent), model adaptations (adaptor-agent and inspector-agent), CPD checking and the evaluation summaries (evaluator-agent). GPT-4o generates the JSON improvement instructions from the bottleneck analysis (bottleneck-agent) because it supports structured output.</v>
      </c>
      <c r="BE2" s="14" t="s">
        <v>2137</v>
      </c>
      <c r="BF2" s="15" t="s">
        <v>2138</v>
      </c>
      <c r="BG2" s="14"/>
      <c r="BH2" s="14" t="s">
        <v>799</v>
      </c>
      <c r="BI2" s="15" t="s">
        <v>2139</v>
      </c>
      <c r="BJ2" s="14" t="s">
        <v>264</v>
      </c>
      <c r="BK2" s="14" t="s">
        <v>2140</v>
      </c>
      <c r="BL2" s="15" t="s">
        <v>2141</v>
      </c>
      <c r="BM2" s="14" t="s">
        <v>2142</v>
      </c>
      <c r="BN2" s="15" t="s">
        <v>2143</v>
      </c>
      <c r="BO2" s="14" t="s">
        <v>467</v>
      </c>
      <c r="BP2" s="15" t="s">
        <v>2144</v>
      </c>
      <c r="BQ2" s="14"/>
      <c r="BR2" s="14"/>
      <c r="BS2" s="14" t="s">
        <v>2145</v>
      </c>
      <c r="BT2" s="15" t="s">
        <v>2146</v>
      </c>
      <c r="BU2" s="14"/>
      <c r="BV2" s="14" t="s">
        <v>2147</v>
      </c>
      <c r="BW2" s="15" t="s">
        <v>2148</v>
      </c>
      <c r="BX2" s="14" t="s">
        <v>625</v>
      </c>
      <c r="BY2" s="15" t="s">
        <v>2149</v>
      </c>
      <c r="BZ2" s="14" t="s">
        <v>467</v>
      </c>
      <c r="CA2" s="14" t="s">
        <v>231</v>
      </c>
      <c r="CB2" s="14" t="s">
        <v>231</v>
      </c>
      <c r="CC2" s="15" t="s">
        <v>2150</v>
      </c>
      <c r="CD2" s="14" t="s">
        <v>2151</v>
      </c>
      <c r="CE2" s="15" t="s">
        <v>2152</v>
      </c>
      <c r="CF2" s="14" t="s">
        <v>231</v>
      </c>
      <c r="CG2" s="15" t="s">
        <v>2153</v>
      </c>
      <c r="CH2" s="14" t="s">
        <v>467</v>
      </c>
      <c r="CI2" s="15" t="s">
        <v>2154</v>
      </c>
      <c r="CJ2" s="14"/>
      <c r="CK2" s="15" t="s">
        <v>2155</v>
      </c>
      <c r="CL2" s="14"/>
      <c r="CM2" s="14" t="s">
        <v>467</v>
      </c>
      <c r="CN2" s="15" t="s">
        <v>2156</v>
      </c>
      <c r="CO2" s="14" t="s">
        <v>264</v>
      </c>
      <c r="CP2" s="15" t="s">
        <v>2157</v>
      </c>
      <c r="CQ2" s="14"/>
      <c r="CR2" s="14" t="s">
        <v>2158</v>
      </c>
      <c r="CS2" s="15" t="s">
        <v>2159</v>
      </c>
      <c r="CT2" s="12" t="str">
        <f aca="false">IF(Comparison!$N$12="Resolved",IF(Comparison!$L$12="","",Comparison!$L$12),"⚠ UNRESOLVED")</f>
        <v>both</v>
      </c>
      <c r="CU2" s="15" t="str">
        <f aca="false">IF(Comparison!$M$12="","[R1] "&amp;Comparison!$J$12&amp;CHAR(10)&amp;CHAR(10)&amp;"[R2] "&amp;Comparison!$K$12,Comparison!$M$12)</f>
        <v>[R1] Classification is uncertain ('?'). Case A uses real MES event logs from a real production line, with power estimated from supplier specifications (Sec. 4.2), which leans naturalistic. Case B uses a simplified mock-up event log and part-flow logic so the data could be shared. The CPDs for both cases were fictitious and created with a company simulation expert (Sec. 4.2), which is artificial. All runs were executed by the authors rather than by real end users in operations, which also pushes toward artificial. Coded 'both' to reflect real-system data (Case A) alongside mock-up/fictitious inputs (Case B, CPDs).
[R2] The evaluation uses 'real-world production lines' and 'heterogeneous production data' from a 'large Swedish automotive manufacturer' (Abstract, Section 4.2). The cases are described as actual production scenarios, not simulated or invented data for the purpose of the test itself (though the simulation models are built from this data). This aligns with the 'naturalistic' paradigm (real users, real problem, real organisation/system).</v>
      </c>
      <c r="CV2" s="12" t="str">
        <f aca="false">IF(Comparison!$N$13="Resolved",IF(Comparison!$L$13="","",Comparison!$L$13),"⚠ UNRESOLVED")</f>
        <v>Two industrial case datasets from a Swedish automotive manufacturer: Case A (MES event logs for a 4-machine serial machining line) and Case B (simplified mock-up event log for a 7-station assembly line with parallel presses; shared on GitHub)</v>
      </c>
      <c r="CW2" s="15" t="str">
        <f aca="false">IF(Comparison!$M$13="","[R1] "&amp;Comparison!$J$13&amp;CHAR(10)&amp;CHAR(10)&amp;"[R2] "&amp;Comparison!$K$13,Comparison!$M$13)</f>
        <v>[R1] Sec. 4.2 and Sec. 5.3.1/5.4.1 describe the data sources. No public benchmark was used. Case B data is available at github.com/thomasschmitt1993/LLM-DES-Modeling. Table 2 SWE-bench values are cited only to motivate model selection; they are not used to evaluate this method.
[R2] The paper uses proprietary industrial data from Scania CV AB (event logs, MES data) for two specific production lines. It does not reference a public dataset or benchmark name (e.g., SWE-bench is mentioned only for LLM capability comparison in Table 2, not as the evaluation dataset for the simulation workflow). The data is described as 'heterogeneous production data' and 'event logs' but not named as a specific public benchmark.</v>
      </c>
      <c r="CX2" s="14" t="s">
        <v>2160</v>
      </c>
      <c r="CY2" s="15" t="s">
        <v>2161</v>
      </c>
      <c r="CZ2" s="12" t="n">
        <f aca="false">IF(Comparison!$N$14="Resolved",IF(Comparison!$L$14="","",Comparison!$L$14),"⚠ UNRESOLVED")</f>
        <v>15</v>
      </c>
      <c r="DA2" s="15" t="str">
        <f aca="false">IF(Comparison!$M$14="","[R1] "&amp;Comparison!$J$14&amp;CHAR(10)&amp;CHAR(10)&amp;"[R2] "&amp;Comparison!$K$14,Comparison!$M$14)</f>
        <v>[R1] Values are taken from Tables 5, 7, 8 and 9, Figs. 6, 9, 13, 16 and 18, and Secs. 5.3 to 5.6. The SEC percentage labels in the figure transcriptions are partly inconsistent (e.g., V2 Case B SEC shown as -5.4% and -6.4%, while the evaluator text states ~6.3%), so that SEC value is omitted. The Fig. 18 percentages were read from the bar chart.
[R2] Metrics were extracted from Section 5.6 (validation deviations), Table 5 and Table 7 captions (cost, time, tokens). The paper reports KPIs (TH, WIP, SEC) for the simulation models themselves (e.g., Fig 6, Fig 13), but the primary evaluation metrics for the *method's* performance are the deviations from the ground truth (FACTS Analyzer) and the efficiency metrics (cost/time). The KPI values of the simulation models are outputs of the simulation, not metrics of the LLM framework's accuracy per se, though they are reported. I included the deviation metrics as they directly evaluate the LLM's output quality against a comparator.</v>
      </c>
      <c r="DB2" s="14" t="s">
        <v>799</v>
      </c>
      <c r="DC2" s="15" t="s">
        <v>2162</v>
      </c>
      <c r="DD2" s="12" t="str">
        <f aca="false">IF(Comparison!$N$15="Resolved",IF(Comparison!$L$15="","",Comparison!$L$15),"⚠ UNRESOLVED")</f>
        <v>2 production cases; 21 experimental workflow runs (10 for Case A, 11 for Case B)</v>
      </c>
      <c r="DE2" s="15" t="str">
        <f aca="false">IF(Comparison!$M$15="","[R1] "&amp;Comparison!$J$15&amp;CHAR(10)&amp;CHAR(10)&amp;"[R2] "&amp;Comparison!$K$15,Comparison!$M$15)</f>
        <v>[R1] Stated in the abstract and in Sec. 5 and 5.5. Simulation replications (25 for Case A, 10 for Case B) are a separate quantity and refer to stochastic simulation runs, not LLM evaluation items.
[R2] The Abstract states '21 experimental runs'. Section 5.3.4 mentions 'ten experiments' for Case A. Section 5.4.4 mentions 'eleven experiments' for Case B. 10 + 11 = 21.</v>
      </c>
      <c r="DF2" s="12" t="str">
        <f aca="false">IF(Comparison!$N$16="Resolved",IF(Comparison!$L$16="","",Comparison!$L$16),"⚠ UNRESOLVED")</f>
        <v>10 for Case A, 11 for Case B</v>
      </c>
      <c r="DG2" s="14" t="s">
        <v>231</v>
      </c>
      <c r="DH2" s="16" t="s">
        <v>2163</v>
      </c>
      <c r="DI2" s="14" t="s">
        <v>232</v>
      </c>
      <c r="DJ2" s="15" t="s">
        <v>2164</v>
      </c>
      <c r="DK2" s="12" t="str">
        <f aca="false">IF(Comparison!$N$17="Resolved",IF(Comparison!$L$17="","",Comparison!$L$17),"⚠ UNRESOLVED")</f>
        <v>The tested cases were relatively simple (a serial line and a line with one parallel station), so generalizability to complex systems with multiple variants and interdependent flows remains unvalidated.; Output consistency and reproducibility are limited: model generation was error-prone, especially structural split/merge errors in Case B, and required human checks and manual corrections.; Whether the approach reduces overall modeling time was not assessed, and there was no comparison against manual modeling or established ASMG approaches.; Multi-agent configurations and hyperparameter sensitivity (e.g., temperature) were not systematically evaluated; default API parameters were used.; Generating C++/XML code for commercial tools such as FACTS Analyzer performed poorly in early experiments, likely due to training-data bias toward Python.; Input data ingestion was partly manual (buffer capacities, process logic), and the CPDs and Case B data were fictitious or simplified mock-ups.; Output consistency and generalizability to more complex manufacturing systems remain challenges.; The cases tested were relatively simple (sequential or simple parallel), and generalizability to complex part flows and multiple variants is unvalidated.; Certain input data (buffer capacities, process logic) had to be added manually, limiting full automation of data ingestion.</v>
      </c>
      <c r="DL2" s="15" t="str">
        <f aca="false">IF(Comparison!$M$17="","[R1] "&amp;Comparison!$J$17&amp;CHAR(10)&amp;CHAR(10)&amp;"[R2] "&amp;Comparison!$K$17,Comparison!$M$17)</f>
        <v>[R1] Drawn from Sec. 6.4 (Limitations and future research), the Conclusion, and Sec. 4.2 for the mock-up and fictitious data.
[R2] Section 6.4 ('Limitations and future research') explicitly states: 'the generalizability of the proposed approach to more complex production scenarios remains to be validated', 'certain information... had to be added manually', and 'limitations in output consistency were observed'. The Abstract also mentions 'current limitations of LLM-driven simulation, particularly regarding output consistency and generalizability.'</v>
      </c>
      <c r="DM2" s="12" t="str">
        <f aca="false">IF(Comparison!$N$18="Resolved",IF(Comparison!$L$18="","",Comparison!$L$18),"⚠ UNRESOLVED")</f>
        <v>Across 21 runs on two industrial cases, the LLM workflow (GPT-5.1 builder/inspector, GPT-5-mini adaptor/visualizer/CPD/evaluator, GPT-4o bottleneck agent, with a SimPy blueprint for one-shot generation) generated executable DES models. It also proposed and implemented bottleneck-based adaptations, flagged CPD violations, and produced trade-off evaluations. Model generation was the weakest stage: 80% correct for Case A and 64% for Case B, with one crash and five manual corrections, mostly structural errors in parallel routing. Adaptation (92-97%) and evaluation (100%) were reliable. Validation against manually built FACTS Analyzer models showed deviations within the 5-10% threshold: about 4% for Case A and below 1% for Case B. Costs were about $0.13-0.16 per run and run times about 10-20 minutes. The authors conclude that the hybrid human-in-the-loop approach is feasible but limited by consistency and generalizability.</v>
      </c>
      <c r="DN2" s="14"/>
      <c r="DO2" s="14"/>
      <c r="DP2" s="14"/>
      <c r="DQ2" s="14" t="s">
        <v>232</v>
      </c>
      <c r="DR2" s="15" t="s">
        <v>2165</v>
      </c>
      <c r="DS2" s="14" t="s">
        <v>2166</v>
      </c>
      <c r="DT2" s="15" t="s">
        <v>2167</v>
      </c>
      <c r="DU2" s="12" t="str">
        <f aca="false">IF(Comparison!$N$19="Resolved",IF(Comparison!$L$19="","",Comparison!$L$19),"⚠ UNRESOLVED")</f>
        <v>There are three human checkpoints.(1) Mandatory inspection and repair of the LLM-generated baseline SimPy model after the inspector-agent's check and before execution.(2) An optional step in which the operator adds an extra improvement suggestion via terminal text input, alongside the bottleneck-agent's suggestions. The operator also reviews the CPD-agent's warnings and the context-specific constraints that the LLM cannot see, such as layout, space and cost.(3) A mandatory check of the evaluator-agent's interpretation of the results, to catch hallucinations before decision support is given.</v>
      </c>
      <c r="DV2" s="14"/>
      <c r="DW2" s="14" t="s">
        <v>232</v>
      </c>
      <c r="DX2" s="15" t="s">
        <v>2168</v>
      </c>
      <c r="DY2" s="12" t="str">
        <f aca="false">IF(Comparison!$N$20="Resolved",IF(Comparison!$L$20="","",Comparison!$L$20),"⚠ UNRESOLVED")</f>
        <v>code-template; mathematical-model</v>
      </c>
      <c r="DZ2" s="15" t="str">
        <f aca="false">IF(Comparison!$M$20="","[R1] "&amp;Comparison!$J$20&amp;CHAR(10)&amp;CHAR(10)&amp;"[R2] "&amp;Comparison!$K$20,Comparison!$M$20)</f>
        <v>[R1] code-template: the SimPy blueprint template is adapted by the builder-agent (Sec. 5.1, Appendix A).
mathematical-model: DES models encoding machine performance, buffers and schedules are executed to compute TH, WIP and SEC (Sec. 4.3.2). This tag is less certain (?), since the model is itself the output generated from the template.
[R2] The primary formalization is the 'blueprint model' described in Section 5.1 and Appendix A. It is a Python code template using SimPy that defines the structure of machines, buffers, and logic. This fits the definition of 'code-template: Code or model template encoding domain structure (e.g., simulation blueprint)'. While CPDs are mentioned, they are provided as text instructions rather than a formal ontology or KG.</v>
      </c>
      <c r="EA2" s="12" t="str">
        <f aca="false">IF(Comparison!$N$21="Resolved",IF(Comparison!$L$21="","",Comparison!$L$21),"⚠ UNRESOLVED")</f>
        <v>The generic SimPy blueprint contains functions for:- production schedules- merger and splitter processes at parallel stations- part generation and movement- DelayBuffer and Machine classes with availability, MTTR, power ratings and defect rates- exponential failure distributions- KPI calculationIt serves as a one-shot example. Structured parameter tables derived from MES event logs, with part flow obtained via PM4Py process mining, are also inserted into the prompts.</v>
      </c>
      <c r="EB2" s="14"/>
      <c r="EC2" s="14" t="s">
        <v>232</v>
      </c>
      <c r="ED2" s="15" t="s">
        <v>2169</v>
      </c>
      <c r="EE2" s="12" t="str">
        <f aca="false">IF(Comparison!$N$22="Resolved",IF(Comparison!$L$22="","",Comparison!$L$22),"⚠ UNRESOLVED")</f>
        <v>custom-test-set; expert-ground-truth; domain-specific-metric</v>
      </c>
      <c r="EF2" s="15" t="str">
        <f aca="false">IF(Comparison!$M$22="","[R1] "&amp;Comparison!$J$22&amp;CHAR(10)&amp;CHAR(10)&amp;"[R2] "&amp;Comparison!$K$22,Comparison!$M$22)</f>
        <v>[R1] custom-test-set: two industrial case studies were built by the authors and run repeatedly.
expert-ground-truth: LLM-generated models are compared with expert-built FACTS Analyzer reference models, and the workflow was validated with a company simulation expert (Sec. 4.4).
domain-specific-metric: throughput, WIP and SEC deviations are used as metrics (Tables 8 and 9).
[R2] 1. 'expert-ground-truth': Section 5.6 states: 'Validation included the comparison of the results of the generated models against equivalent models built in FACTS Analyzer simulation software.' These manually built models serve as the ground truth. 2. 'domain-specific-metric': The evaluation uses manufacturing-specific KPIs: 'Throughput (TH)', 'Work-in-process (WIP)', and 'Specific Energy Consumption (SEC)' (Section 4.2).</v>
      </c>
      <c r="EG2" s="12" t="str">
        <f aca="false">IF(Comparison!$N$23="Resolved",IF(Comparison!$L$23="","",Comparison!$L$23),"⚠ UNRESOLVED")</f>
        <v>Ten runs were performed for Case A (4-station serial machining line) and eleven for Case B (7-station assembly line with parallel presses). For each run, the authors recorded:- model generation success, manual correction or failure, and the error type (structural, parametric, scheduling)- correctness of BT suggestions and CPD flagging- success of the adaptations- correctness of the evaluator interpretationAccuracy per stage is summarized in Fig. 18: generation 80% and 64%, adaptation 92% and 97%, evaluation 100% for Case A and Case B respectively. Tokens, cost and execution time were also reported.Input-output validation compared the first run of each case with FACTS Analyzer models. Deviations were within 10%: about -4% TH and about 4% WIP for Case A, and under 1% for Case B.</v>
      </c>
      <c r="EH2" s="14"/>
      <c r="EI2" s="14"/>
      <c r="EJ2" s="14"/>
      <c r="EK2" s="14"/>
      <c r="EL2" s="14"/>
      <c r="EM2" s="14"/>
      <c r="EN2" s="14" t="s">
        <v>2170</v>
      </c>
      <c r="EO2" s="15" t="s">
        <v>2171</v>
      </c>
      <c r="EP2" s="14" t="s">
        <v>2172</v>
      </c>
      <c r="EQ2" s="15" t="s">
        <v>2173</v>
      </c>
      <c r="ER2" s="14" t="s">
        <v>344</v>
      </c>
      <c r="ES2" s="15" t="s">
        <v>2174</v>
      </c>
      <c r="ET2" s="14" t="s">
        <v>344</v>
      </c>
      <c r="EU2" s="15" t="s">
        <v>2175</v>
      </c>
      <c r="EV2" s="14" t="s">
        <v>344</v>
      </c>
      <c r="EW2" s="15" t="s">
        <v>2176</v>
      </c>
      <c r="EX2" s="12" t="str">
        <f aca="false">IF(Comparison!$N$24="Resolved",IF(Comparison!$L$24="","",Comparison!$L$24),"⚠ UNRESOLVED")</f>
        <v>Partially</v>
      </c>
      <c r="EY2" s="15" t="str">
        <f aca="false">IF(Comparison!$M$24="","[R1] "&amp;Comparison!$J$24&amp;CHAR(10)&amp;CHAR(10)&amp;"[R2] "&amp;Comparison!$K$24,Comparison!$M$24)</f>
        <v>[R1] Sec. 3 reviews ASMG approaches and LLM-simulation work (Jackson et al., Obinwanne &amp; Feng, Dengler et al., Giabbanelli et al.). It differentiates the contribution as the first end-to-end workflow with structured data inputs (Sec. 6: 'no studies have demonstrated and validated a complete end-to-end workflow'). However, there is no empirical comparison against existing ASMG or LLM approaches, which the authors themselves list as future work.
[R2] Section 3 (Related Works) reviews prior work on simulation automation and LLMs in manufacturing. It specifically cites studies like Jackson et al. [4] and Obinwanne and Feng [35] that demonstrated LLMs for simple DES generation, and explicitly states that this study addresses the gap by presenting a 'complete end-to-end workflow spanning model generation, adaptation, and evaluation' which prior studies had not demonstrated and validated. Section 6.1 further contrasts this work with earlier proof-of-concepts.</v>
      </c>
      <c r="EZ2" s="14" t="s">
        <v>231</v>
      </c>
      <c r="FA2" s="12" t="str">
        <f aca="false">IF(Comparison!$N$25="Resolved",IF(Comparison!$L$25="","",Comparison!$L$25),"⚠ UNRESOLVED")</f>
        <v>full</v>
      </c>
      <c r="FB2" s="14" t="s">
        <v>231</v>
      </c>
      <c r="FC2" s="14" t="s">
        <v>232</v>
      </c>
      <c r="FD2" s="12" t="str">
        <f aca="false">IF(Comparison!$N$26="Resolved",IF(Comparison!$L$26="","",Comparison!$L$26),"⚠ UNRESOLVED")</f>
        <v>partial</v>
      </c>
      <c r="FE2" s="14" t="s">
        <v>231</v>
      </c>
      <c r="FF2" s="15" t="s">
        <v>2177</v>
      </c>
      <c r="FG2" s="14" t="s">
        <v>231</v>
      </c>
      <c r="FH2" s="14" t="s">
        <v>231</v>
      </c>
      <c r="FI2" s="14"/>
      <c r="FJ2" s="14" t="s">
        <v>2178</v>
      </c>
    </row>
    <row r="3" customFormat="false" ht="60" hidden="false" customHeight="true" outlineLevel="0" collapsed="false">
      <c r="A3" s="7" t="s">
        <v>2179</v>
      </c>
      <c r="B3" s="7" t="s">
        <v>2180</v>
      </c>
      <c r="C3" s="7" t="s">
        <v>2181</v>
      </c>
      <c r="D3" s="16" t="s">
        <v>2111</v>
      </c>
      <c r="E3" s="14"/>
      <c r="F3" s="14" t="s">
        <v>2181</v>
      </c>
      <c r="G3" s="14" t="s">
        <v>2180</v>
      </c>
      <c r="H3" s="14" t="s">
        <v>2182</v>
      </c>
      <c r="I3" s="14" t="s">
        <v>2183</v>
      </c>
      <c r="J3" s="14" t="s">
        <v>2184</v>
      </c>
      <c r="K3" s="14" t="s">
        <v>2185</v>
      </c>
      <c r="L3" s="14" t="s">
        <v>2186</v>
      </c>
      <c r="M3" s="14" t="s">
        <v>2187</v>
      </c>
      <c r="N3" s="14" t="s">
        <v>2118</v>
      </c>
      <c r="O3" s="12" t="str">
        <f aca="false">IF(Comparison!$N$27="Resolved",IF(Comparison!$L$27="","",Comparison!$L$27),"⚠ UNRESOLVED")</f>
        <v>AIR@InnoHK research cluster of the Innovation and Technology Commission (ITC) of the HKSAR Government</v>
      </c>
      <c r="P3" s="12" t="str">
        <f aca="false">IF(Comparison!$N$28="Resolved",IF(Comparison!$L$28="","",Comparison!$L$28),"⚠ UNRESOLVED")</f>
        <v>Research funded by the AIR@InnoHK research cluster of the Innovation and Technology Commission (ITC) of the HKSAR Government, within the scope of the research project '1-5 Ramp-Up Time Reduction by Learning from Past Process Cycles'.</v>
      </c>
      <c r="Q3" s="14" t="s">
        <v>231</v>
      </c>
      <c r="R3" s="14" t="s">
        <v>186</v>
      </c>
      <c r="S3" s="15" t="s">
        <v>2188</v>
      </c>
      <c r="T3" s="14" t="s">
        <v>2121</v>
      </c>
      <c r="U3" s="15" t="s">
        <v>2189</v>
      </c>
      <c r="V3" s="12" t="str">
        <f aca="false">IF(Comparison!$N$29="Resolved",IF(Comparison!$L$29="","",Comparison!$L$29),"⚠ UNRESOLVED")</f>
        <v>Manufacturing (plastic products manufacturer; automation/assembly equipment)</v>
      </c>
      <c r="W3" s="15" t="str">
        <f aca="false">IF(Comparison!$M$29="","[R1] "&amp;Comparison!$J$29&amp;CHAR(10)&amp;CHAR(10)&amp;"[R2] "&amp;Comparison!$K$29,Comparison!$M$29)</f>
        <v>[R1] Section 3 describes the partner as 'an international manufacturer of plastic products with about 850 employees, operating six factories across three continents.' The broader domain is manufacturing automation and ramp-up (Abstract, Section 1).
[R2] The paper explicitly focuses on 'manufacturing equipment selection' (Title, Abstract). The industrial partner is described in Section 3 as 'an international manufacturer of plastic products'.</v>
      </c>
      <c r="X3" s="12" t="str">
        <f aca="false">IF(Comparison!$N$30="Resolved",IF(Comparison!$L$30="","",Comparison!$L$30),"⚠ UNRESOLVED")</f>
        <v>Automation equipment selection (robots, feeders, vision systems) during production ramp-up planning for new products at an industrial plastic products manufacturer</v>
      </c>
      <c r="Y3" s="15" t="str">
        <f aca="false">IF(Comparison!$M$30="","[R1] "&amp;Comparison!$J$30&amp;CHAR(10)&amp;CHAR(10)&amp;"[R2] "&amp;Comparison!$K$30,Comparison!$M$30)</f>
        <v>[R1] Section 3 states: 'Two automation engineers tested the system on three ramp-up planning use-cases: two for products in Europe and one in China... used to derive automation components for robots, feeders, and vision applications within the design process.' Table 1 gives examples such as pre-feeding of bushings, movement to cleaning and inspection, and visual inspection.
[R2] Section 3 describes the case study as testing the system on 'ramp-up planning use-cases' to 'derive automation components for robots, feeders, and vision applications'. The abstract confirms the focus on 'streamlining equipment selection in ramp-up planning'.</v>
      </c>
      <c r="Z3" s="12" t="str">
        <f aca="false">IF(Comparison!$N$31="Resolved",IF(Comparison!$L$31="","",Comparison!$L$31),"⚠ UNRESOLVED")</f>
        <v>This research investigates whether large-language models (LLMs), combined with Retrieval-Augmented Generation (RAG), can assist in streamlining equipment selection in ramp-up planning; i.e., whether factual-driven RAG-LLMs combined with a state-machine architecture can fulfill the requirements of the equipment selection process and guide automation equipment design effectively.</v>
      </c>
      <c r="AA3" s="15" t="str">
        <f aca="false">IF(Comparison!$M$31="","[R1] "&amp;Comparison!$J$31&amp;CHAR(10)&amp;CHAR(10)&amp;"[R2] "&amp;Comparison!$K$31,Comparison!$M$31)</f>
        <v>[R1] No formally numbered RQs are given. The research aim is stated in the Abstract ('This research investigates whether...') and in Section 1 ('This article explores whether these recent advancements in factual-driven RAG-LLMs, combined with a state-machine architecture, can fulfill the requirements...'). These statements are presented here as a close paraphrase of an implicit RQ.
[R2] The Abstract states: 'This research investigates whether large-language models (LLMs), combined with Retrieval-Augmented Generation (RAG), can assist in streamlining equipment selection in ramp-up planning.' Section 1 reiterates: 'This article explores whether these recent advancements in factual-driven RAG-LLMs, combined with a state-machine architecture, can fulfill the requirements of the equipment selection process...'</v>
      </c>
      <c r="AB3" s="12" t="str">
        <f aca="false">IF(Comparison!$N$32="Resolved",IF(Comparison!$L$32="","",Comparison!$L$32),"⚠ UNRESOLVED")</f>
        <v>technology-selection; factory-planning</v>
      </c>
      <c r="AC3" s="15" t="str">
        <f aca="false">IF(Comparison!$M$32="","[R1] "&amp;Comparison!$J$32&amp;CHAR(10)&amp;CHAR(10)&amp;"[R2] "&amp;Comparison!$K$32,Comparison!$M$32)</f>
        <v>[R1] The paper's core task is selecting automation equipment (robots, feeders, vision systems) for assembly lines during ramp-up planning (Abstract; Sec. 2). This maps most directly to technology-selection (choosing equipment and technology types and models). Factory-planning is added because the work is framed within production line design and ramp-up planning, i.e., equipment choice in the line design stage (Sec. 1: 'Automation design, especially equipment selection... The ramp-up phase relies on an effective design stage'). This is a boundary case: the scope is line or cell-level equipment selection rather than whole-factory planning, so factory-planning is marked with '?'. Investment appraisal is not performed.
[R2] The paper explicitly focuses on 'automation equipment selection' (Abstract, Section 1). The system selects specific robots, feeders, and vision systems based on requirements. This aligns with 'technology-selection' (Technology selection and investment appraisal) as it involves choosing specific technical components for a production line. It is not 'factory-planning' in the broad VDI 5200 sense of layout or process design, but rather the selection of the equipment itself. Section 2 states: 'This research investigates whether large-language models (LLMs)... can assist in streamlining equipment selection'.</v>
      </c>
      <c r="AD3" s="12" t="str">
        <f aca="false">IF(Comparison!$N$33="Resolved",IF(Comparison!$L$33="","",Comparison!$L$33),"⚠ UNRESOLVED")</f>
        <v>other; production-system-concept-design</v>
      </c>
      <c r="AE3" s="12" t="str">
        <f aca="false">IF(Comparison!$N$34="Resolved",IF(Comparison!$L$34="","",Comparison!$L$34),"⚠ UNRESOLVED")</f>
        <v>Automation equipment selection: choosing the elementary operation, equipment type (e.g., SCARA robot, vibratory bowl feeder, area-scan camera) and specific supplier model for assembly processes from requirements, using a RAG-LLM copilot.</v>
      </c>
      <c r="AF3" s="15" t="str">
        <f aca="false">IF(Comparison!$M$33="","[R1] "&amp;Comparison!$J$33&amp;CHAR(10)&amp;CHAR(10)&amp;"[R2] "&amp;Comparison!$K$33,Comparison!$M$33)</f>
        <v>[R1] Sec. 2 describes the workflow: analyse inputs -&gt; select elementary operation -&gt; select equipment type -&gt; select specific equipment -&gt; evaluate selection. This is equipment or technology selection, which none of the listed categories fully covers, so 'other' is selected. Production-system-concept-design is added tentatively ('?') because choosing the automation equipment and its type is part of line or automation concept design. Technology-scouting is not selected because the system selects from a predefined catalog rather than scouting. Requirements are provided by the user rather than elicited, although the system can request additional information after an unsuitable selection.
[R2] The core task is identifying and selecting specific equipment types (robots, feeders, vision) from a catalog based on requirements. This fits 'technology-scouting' (Technology scouting and identification) or potentially 'investment-appraisal' if it included cost/benefit, but the paper emphasizes 'selection' and 'recommendations' of specific models (e.g., 'bowl feeder ZSB-N 250-30-110 by RNA'). 'technology-scouting' is the best fit for identifying the right technology/equipment. It is not 'factory-layout-planning' as the paper explicitly states in Section 3: 'it does not support layout design'.</v>
      </c>
      <c r="AG3" s="14" t="s">
        <v>2129</v>
      </c>
      <c r="AH3" s="15" t="s">
        <v>2190</v>
      </c>
      <c r="AI3" s="12" t="str">
        <f aca="false">IF(Comparison!$N$35="Resolved",IF(Comparison!$L$35="","",Comparison!$L$35),"⚠ UNRESOLVED")</f>
        <v>4-detailed-planning; 7-ramp-up-support</v>
      </c>
      <c r="AJ3" s="15" t="str">
        <f aca="false">IF(Comparison!$M$35="","[R1] "&amp;Comparison!$J$35&amp;CHAR(10)&amp;CHAR(10)&amp;"[R2] "&amp;Comparison!$K$35,Comparison!$M$35)</f>
        <v>[R1] Selecting specific equipment models (e.g., 'bowl feeder ZSB-N 250-30-110 by RNA') corresponds to detailed planning of equipment. The authors frame the work as 'equipment selection in ramp-up planning' and 'ramp-up time reduction', which suggests 7-ramp-up-support. However, they state the copilot 'does not incorporate the ramp-up implementation phase' (Sec. 3) and that it is used 'within the design process'. The ramp-up label therefore reflects the authors' framing of new product integration and is uncertain ('?'). Concept planning could also apply to equipment type selection.
[R2] The subdomain is classified as 'technology-selection', not 'factory-planning'. According to the schema constraint, 'vdi5200_phase' must be 'NA' if 'factory-planning' is not in the subdomain. Although the paper discusses ramp-up planning which is related to VDI 5200 Phase 7, the primary focus is on the selection of specific equipment components (technology selection) rather than the holistic factory planning process defined by VDI 5200.</v>
      </c>
      <c r="AK3" s="14" t="s">
        <v>799</v>
      </c>
      <c r="AL3" s="15" t="s">
        <v>2191</v>
      </c>
      <c r="AM3" s="14" t="s">
        <v>264</v>
      </c>
      <c r="AN3" s="14" t="s">
        <v>220</v>
      </c>
      <c r="AO3" s="15" t="s">
        <v>2192</v>
      </c>
      <c r="AP3" s="12" t="str">
        <f aca="false">IF(Comparison!$N$36="Resolved",IF(Comparison!$L$36="","",Comparison!$L$36),"⚠ UNRESOLVED")</f>
        <v/>
      </c>
      <c r="AQ3" s="15" t="str">
        <f aca="false">IF(Comparison!$M$36="","[R1] "&amp;Comparison!$J$36&amp;CHAR(10)&amp;CHAR(10)&amp;"[R2] "&amp;Comparison!$K$36,Comparison!$M$36)</f>
        <v>[R1] No claim found. The authors refer to 'ramp-up planning' and the 'design stage', but never claim a strategic, tactical or operational tier.
[R2] The authors frame the work as supporting 'ramp-up planning' and 'automation design' (Section 1). While they don't use the word 'strategic', the selection of equipment for a production line is a high-level design decision. The schema maps system-configuring decisions to Strategic. The authors claim to support 'decision-making in automation equipment selection' (Abstract), which is a configuration decision.</v>
      </c>
      <c r="AR3" s="14" t="s">
        <v>232</v>
      </c>
      <c r="AS3" s="15" t="s">
        <v>2193</v>
      </c>
      <c r="AT3" s="14" t="s">
        <v>232</v>
      </c>
      <c r="AU3" s="15" t="s">
        <v>2194</v>
      </c>
      <c r="AV3" s="12" t="str">
        <f aca="false">IF(Comparison!$N$37="Resolved",IF(Comparison!$L$37="","",Comparison!$L$37),"⚠ UNRESOLVED")</f>
        <v>Selection of the elementary operation, the equipment type and the specific supplier equipment model (e.g., Epson articulated arm robot C8-A1401, OPTRONIS camera, RNA bowl feeder) to be installed in assembly lines for new products.</v>
      </c>
      <c r="AW3" s="14" t="s">
        <v>467</v>
      </c>
      <c r="AX3" s="15" t="s">
        <v>2195</v>
      </c>
      <c r="AY3" s="15" t="s">
        <v>2196</v>
      </c>
      <c r="AZ3" s="14"/>
      <c r="BA3" s="12" t="str">
        <f aca="false">IF(Comparison!$N$38="Resolved",IF(Comparison!$L$38="","",Comparison!$L$38),"⚠ UNRESOLVED")</f>
        <v>A factual-driven, LLM-based copilot that supports automation engineers in selecting manufacturing automation equipment (robots, feeders, vision systems) during ramp-up planning. The user either asks general questions or states requirements for an assembly process, for example a feeding speed of 500 parts/h. A primary orchestration agent decides which subcomponents to call: an equipment selection agent, a relational (SQLite3) structured knowledge system, a semi-structured RAG knowledge system (ChromaDB), and an answer generator. The equipment selection agent runs a state-machine workflow with five steps: (1) analyse inputs, (2) select elementary operation, (3) select equipment type, (4) select specific equipment (e.g., bowl feeder ZSB-N 250-30-110 by RNA), and (5) evaluate the selection. In the evaluation step the LLM reflects on whether the choice is suitable. If it is not, the agent asks the user for more information and restarts at the elementary-operation step. The output is a traceable recommendation of specific equipment. It was tested by two automation engineers of an industrial partner on three use-cases with 47 equipment prompts: 20 suggestions were fully suitable and 24 were sufficient.</v>
      </c>
      <c r="BB3" s="14" t="s">
        <v>2197</v>
      </c>
      <c r="BC3" s="15" t="s">
        <v>2198</v>
      </c>
      <c r="BD3" s="12" t="str">
        <f aca="false">IF(Comparison!$N$39="Resolved",IF(Comparison!$L$39="","",Comparison!$L$39),"⚠ UNRESOLVED")</f>
        <v>GPT-4o powers all LLM nodes: orchestrator, equipment selection agent, knowledge-system agents and answer generator. all-MiniLM-L6-v2 produces the embeddings for semi-structured retrieval in Chroma.</v>
      </c>
      <c r="BE3" s="14" t="s">
        <v>2137</v>
      </c>
      <c r="BF3" s="15" t="s">
        <v>2199</v>
      </c>
      <c r="BG3" s="14"/>
      <c r="BH3" s="14" t="s">
        <v>799</v>
      </c>
      <c r="BI3" s="15" t="s">
        <v>2200</v>
      </c>
      <c r="BJ3" s="14" t="s">
        <v>264</v>
      </c>
      <c r="BK3" s="14" t="s">
        <v>2140</v>
      </c>
      <c r="BL3" s="15" t="s">
        <v>2201</v>
      </c>
      <c r="BM3" s="14" t="s">
        <v>2142</v>
      </c>
      <c r="BN3" s="15" t="s">
        <v>2202</v>
      </c>
      <c r="BO3" s="14" t="s">
        <v>467</v>
      </c>
      <c r="BP3" s="15" t="s">
        <v>2203</v>
      </c>
      <c r="BQ3" s="14"/>
      <c r="BR3" s="14"/>
      <c r="BS3" s="12" t="str">
        <f aca="false">IF(Comparison!$N$40="Resolved",IF(Comparison!$L$40="","",Comparison!$L$40),"⚠ UNRESOLVED")</f>
        <v>zero-shot</v>
      </c>
      <c r="BT3" s="15" t="str">
        <f aca="false">IF(Comparison!$M$40="","[R1] "&amp;Comparison!$J$40&amp;CHAR(10)&amp;CHAR(10)&amp;"[R2] "&amp;Comparison!$K$40,Comparison!$M$40)</f>
        <v>[R1] Section 2 describes predefined instruction prompts ("pre-prompt") that tell the LLM how to interpret requirements, group them into component types, and synthesize answers. A "provided template" can reinforce this, but no worked input/output examples are described, so the coding is zero-shot instructions. The reflection step is coded under planning_reflection rather than as CoT, since intermediate reasoning prompting is not described. Uncertain (?) because the prompt contents are not shown.
[R2] The system uses 'pre-prompt' and 'predefined prompt' to structure the interaction and guide the LLM (Section 2). It also uses a 'template' to reinforce requirements. The output is synthesized by an answer generator with a 'defined pre-prompt'. This aligns with structured prompting. The 'other' category is used for the specific 'pre-prompt' and 'template' based guidance described in Section 2, which is a form of role/task-specific prompting not strictly fitting zero/few-shot/CoT/ReAct definitions in the standard sense, but rather a structured workflow prompting.</v>
      </c>
      <c r="BU3" s="12" t="str">
        <f aca="false">IF(Comparison!$N$41="Resolved",IF(Comparison!$L$41="","",Comparison!$L$41),"⚠ UNRESOLVED")</f>
        <v>NA</v>
      </c>
      <c r="BV3" s="14" t="s">
        <v>2204</v>
      </c>
      <c r="BW3" s="15" t="s">
        <v>2205</v>
      </c>
      <c r="BX3" s="12" t="str">
        <f aca="false">IF(Comparison!$N$42="Resolved",IF(Comparison!$L$42="","",Comparison!$L$42),"⚠ UNRESOLVED")</f>
        <v>routing; orchestrator-workers; prompt-chaining; evaluator-optimizer</v>
      </c>
      <c r="BY3" s="15" t="str">
        <f aca="false">IF(Comparison!$M$42="","[R1] "&amp;Comparison!$J$42&amp;CHAR(10)&amp;CHAR(10)&amp;"[R2] "&amp;Comparison!$K$42,Comparison!$M$42)</f>
        <v>[R1] Routing and orchestrator-workers: the orchestrator decides at run time whether a query is a general question or an equipment selection request, and which knowledge subcomponents to call (Fig. 1, dashed conditional edges). Prompt-chaining: inside the equipment selection agent, fixed edges chain the steps analyse inputs → select elementary operation → select equipment type → select specific equipment → evaluate selection. Evaluator-optimizer: the evaluation step has the LLM reflect on suitability, and an unsuitable selection loops back to the elementary-operation step with additional user information (Section 2). The evaluator may be the same LLM rather than a separate one (?).
[R2] The 'primary orchestration agent' delegates to subcomponents (orchestrator-workers). Section 2 describes an 'evaluation selection step, where the LLM reflects the suitability of the decision... In case of an unsuitable selection... restarting the selection'. This is an evaluator-optimizer loop (reflection and retry).</v>
      </c>
      <c r="BZ3" s="14" t="s">
        <v>2206</v>
      </c>
      <c r="CA3" s="14" t="s">
        <v>232</v>
      </c>
      <c r="CB3" s="14" t="s">
        <v>232</v>
      </c>
      <c r="CC3" s="15" t="s">
        <v>2207</v>
      </c>
      <c r="CD3" s="14" t="s">
        <v>2208</v>
      </c>
      <c r="CE3" s="15" t="s">
        <v>2209</v>
      </c>
      <c r="CF3" s="14" t="s">
        <v>231</v>
      </c>
      <c r="CG3" s="15" t="s">
        <v>2210</v>
      </c>
      <c r="CH3" s="14" t="s">
        <v>467</v>
      </c>
      <c r="CI3" s="15" t="s">
        <v>2211</v>
      </c>
      <c r="CJ3" s="14"/>
      <c r="CK3" s="15" t="s">
        <v>2212</v>
      </c>
      <c r="CL3" s="14"/>
      <c r="CM3" s="14" t="s">
        <v>467</v>
      </c>
      <c r="CN3" s="15" t="s">
        <v>2213</v>
      </c>
      <c r="CO3" s="14" t="s">
        <v>264</v>
      </c>
      <c r="CP3" s="15" t="s">
        <v>2214</v>
      </c>
      <c r="CQ3" s="14"/>
      <c r="CR3" s="12" t="str">
        <f aca="false">IF(Comparison!$N$43="Resolved",IF(Comparison!$L$43="","",Comparison!$L$43),"⚠ UNRESOLVED")</f>
        <v>multi-case; test-set</v>
      </c>
      <c r="CS3" s="15" t="str">
        <f aca="false">IF(Comparison!$M$43="","[R1] "&amp;Comparison!$J$43&amp;CHAR(10)&amp;CHAR(10)&amp;"[R2] "&amp;Comparison!$K$43,Comparison!$M$43)</f>
        <v>[R1] Section 3 describes one industrial partner, a plastics manufacturer with about 850 employees. Two of its automation engineers tested the copilot on three internal ramp-up planning use-cases (two in Europe, one in China). The 47 equipment prompts were scored against the partner's internal equipment selection, which fits 'test-set'. Because all use-cases come from one company, this is coded 'single-case' rather than 'multi-case'. It is not coded 'user-study' because no structured questionnaire or interview protocol is described, only feedback. The industrial partner had web access to the system for the case study (hosted on Azure, Section 2), but it was not operational deployment, so 'field-deployment' is not coded.
[R2] Section 3 ('Industrial case-study') states that 'Two automation engineers tested the system on three ramp-up planning use-cases'. This constitutes a multi-case study (3 distinct use-cases) and a user-study (structured testing by specific users, the engineers, against internal selections). It is not a field-deployment as it was a demonstration/test phase, not operational use.</v>
      </c>
      <c r="CT3" s="14" t="s">
        <v>258</v>
      </c>
      <c r="CU3" s="15" t="s">
        <v>2215</v>
      </c>
      <c r="CV3" s="12" t="str">
        <f aca="false">IF(Comparison!$N$44="Resolved",IF(Comparison!$L$44="","",Comparison!$L$44),"⚠ UNRESOLVED")</f>
        <v>47 equipment prompts from 3 internal ramp-up planning use-cases of the industrial partner (confidential; examples in Table 1)</v>
      </c>
      <c r="CW3" s="15" t="str">
        <f aca="false">IF(Comparison!$M$44="","[R1] "&amp;Comparison!$J$44&amp;CHAR(10)&amp;CHAR(10)&amp;"[R2] "&amp;Comparison!$K$44,Comparison!$M$44)</f>
        <v>[R1] Section 3: 'Among the 47 equipment prompts analyzed...'. Only some prompts are shown in Table 1 because of confidentiality. No public benchmark was used.
[R2] No public dataset or standard benchmark is mentioned. The evaluation uses internal company data and specific prompts provided by the partner (Section 3).</v>
      </c>
      <c r="CX3" s="12" t="str">
        <f aca="false">IF(Comparison!$N$45="Resolved",IF(Comparison!$L$45="","",Comparison!$L$45),"⚠ UNRESOLVED")</f>
        <v>human-planner</v>
      </c>
      <c r="CY3" s="15" t="str">
        <f aca="false">IF(Comparison!$M$45="","[R1] "&amp;Comparison!$J$45&amp;CHAR(10)&amp;CHAR(10)&amp;"[R2] "&amp;Comparison!$K$45,Comparison!$M$45)</f>
        <v>[R1] The copilot's suggestions were compared against the partner's internal component selection (Table 1, Section 3). This selection served as the reference or ground truth for judging suitability, not as an alternative method evaluated on the same metrics. It is therefore coded 'none'. It could arguably be read as 'human-planner' ('?').
[R2] Section 3 states: 'the components suggested by the copilot were compared against the internal selection.' The 'internal selection' refers to the choices made by the automation engineers (humans) without the system, serving as the baseline/comparator.</v>
      </c>
      <c r="CZ3" s="14" t="s">
        <v>1040</v>
      </c>
      <c r="DA3" s="15" t="s">
        <v>2216</v>
      </c>
      <c r="DB3" s="14" t="s">
        <v>799</v>
      </c>
      <c r="DC3" s="15" t="s">
        <v>2217</v>
      </c>
      <c r="DD3" s="12" t="str">
        <f aca="false">IF(Comparison!$N$46="Resolved",IF(Comparison!$L$46="","",Comparison!$L$46),"⚠ UNRESOLVED")</f>
        <v>47 equipment prompts; 3 use-cases; 2 automation engineers</v>
      </c>
      <c r="DE3" s="15" t="str">
        <f aca="false">IF(Comparison!$M$46="","[R1] "&amp;Comparison!$J$46&amp;CHAR(10)&amp;CHAR(10)&amp;"[R2] "&amp;Comparison!$K$46,Comparison!$M$46)</f>
        <v>[R1] Section 3: 'Two automation engineers tested the system on three ramp-up planning use-cases'; 'Among the 47 equipment prompts analyzed'.
[R2] Section 3 explicitly states 'Among the 47 equipment prompts analyzed' and 'three ramp-up planning use-cases' tested by 'Two automation engineers'.</v>
      </c>
      <c r="DF3" s="16" t="s">
        <v>264</v>
      </c>
      <c r="DG3" s="14" t="s">
        <v>231</v>
      </c>
      <c r="DH3" s="16" t="s">
        <v>2218</v>
      </c>
      <c r="DI3" s="14" t="s">
        <v>231</v>
      </c>
      <c r="DJ3" s="15" t="s">
        <v>2219</v>
      </c>
      <c r="DK3" s="12" t="str">
        <f aca="false">IF(Comparison!$N$47="Resolved",IF(Comparison!$L$47="","",Comparison!$L$47),"⚠ UNRESOLVED")</f>
        <v>The copilot does not support layout design, which influences equipment selection itself.; The copilot does not incorporate the ramp-up implementation phase.; Not all evaluation prompts can be shown because they involve confidential company information.</v>
      </c>
      <c r="DL3" s="15" t="str">
        <f aca="false">IF(Comparison!$M$47="","[R1] "&amp;Comparison!$J$47&amp;CHAR(10)&amp;CHAR(10)&amp;"[R2] "&amp;Comparison!$K$47,Comparison!$M$47)</f>
        <v>[R1] Section 3 and Section 4 state the layout design and ramp-up implementation limitations. Section 3 notes the confidentiality restriction. Future work (discrete-event simulation, MCP, data integration) is mentioned in Section 4.
[R2] Section 3 ('Nevertheless, it also had certain limitations...') and Section 4 ('However, limitations remain...') explicitly state that the copilot does not address layout design or the ramp-up implementation phase.</v>
      </c>
      <c r="DM3" s="12" t="str">
        <f aca="false">IF(Comparison!$N$48="Resolved",IF(Comparison!$L$48="","",Comparison!$L$48),"⚠ UNRESOLVED")</f>
        <v>The RAG-based, state-machine, multi-agent copilot (GPT-4o, LangGraph, ChromaDB, SQLite3) was tested by two automation engineers at a plastics manufacturer on three ramp-up use-cases. Of 47 equipment prompts, 3 got the correct type but the wrong subtype, 24 got a sufficient component (correct subtype, most requirements), and 20 got a fully suitable component meeting all requirements. The partner's feedback affirmed that the system gives logical, actionable equipment recommendations aligned with their requirements, though it does not address layout design or ramp-up implementation.</v>
      </c>
      <c r="DN3" s="14"/>
      <c r="DO3" s="14"/>
      <c r="DP3" s="14"/>
      <c r="DQ3" s="14" t="s">
        <v>232</v>
      </c>
      <c r="DR3" s="15" t="s">
        <v>2220</v>
      </c>
      <c r="DS3" s="12" t="str">
        <f aca="false">IF(Comparison!$N$49="Resolved",IF(Comparison!$L$49="","",Comparison!$L$49),"⚠ UNRESOLVED")</f>
        <v>escalation-protocol</v>
      </c>
      <c r="DT3" s="15" t="str">
        <f aca="false">IF(Comparison!$M$49="","[R1] "&amp;Comparison!$J$49&amp;CHAR(10)&amp;CHAR(10)&amp;"[R2] "&amp;Comparison!$K$49,Comparison!$M$49)</f>
        <v>[R1] The system triggers the human step. The LLM's evaluate-selection step detects an unsuitable selection and asks the user for more information (Section 2: "additional information about the decision is requested from the user"). This fits escalation-protocol. There is no explicit approval gate or override mechanism.
[R2] The system initiates a request for more information when it cannot fulfill requirements or detects unsuitability (escalation-protocol). The user provides this information, which steers the next iteration of the selection process (iterative-feedback). Section 2: 'additional information about the decision is requested from the user... restarting the selection'.</v>
      </c>
      <c r="DU3" s="12" t="str">
        <f aca="false">IF(Comparison!$N$50="Resolved",IF(Comparison!$L$50="","",Comparison!$L$50),"⚠ UNRESOLVED")</f>
        <v>After a specific piece of equipment is selected, the LLM checks whether the choice is suitable. If it judges the choice unsuitable, it asks the user for additional information. The selection then restarts from the elementary-operation step, using the new input.</v>
      </c>
      <c r="DV3" s="14"/>
      <c r="DW3" s="14" t="s">
        <v>232</v>
      </c>
      <c r="DX3" s="15" t="s">
        <v>2221</v>
      </c>
      <c r="DY3" s="12" t="str">
        <f aca="false">IF(Comparison!$N$51="Resolved",IF(Comparison!$L$51="","",Comparison!$L$51),"⚠ UNRESOLVED")</f>
        <v>relational-database</v>
      </c>
      <c r="DZ3" s="15" t="str">
        <f aca="false">IF(Comparison!$M$51="","[R1] "&amp;Comparison!$J$51&amp;CHAR(10)&amp;CHAR(10)&amp;"[R2] "&amp;Comparison!$K$51,Comparison!$M$51)</f>
        <v>[R1] Section 2 describes a relational database (SQLite3) that maps equipment to attributes, with an equipment category-to-type taxonomy (Appendix B.1). It is extendable via HTTP POST through a Swagger interface. No ontology or knowledge graph is described.
[R2] The paper explicitly mentions a 'relational knowledge system' using 'SQLite3' (Section 2, Fig 1 legend). It maps equipment to attributes, which fits 'relational-database'. The mapping of equipment categories to types (Appendix B) and the structured nature of the data retrieval implies a 'structured-schema' or taxonomy, though 'relational-database' is the primary explicit implementation detail. The semi-structured RAG part is not formalized in the same way (it's vector embeddings of text chunks), so it doesn't count as formalization per the schema definition ('Free-text... unstructured RAG corpora alone do not count'). However, the relational DB part does.</v>
      </c>
      <c r="EA3" s="12" t="str">
        <f aca="false">IF(Comparison!$N$52="Resolved",IF(Comparison!$L$52="","",Comparison!$L$52),"⚠ UNRESOLVED")</f>
        <v>A SQLite3 relational database maps specific equipment (robots, feeders, vision systems) to their attributes and is linked to supplier product catalogs. The mapping is based on scientific books. A taxonomy of elementary operations and equipment categories/types (e.g., SCARA, Vibratory Bowl Feeder, Area Scan Camera) is used to select the elementary operation, then the equipment type, then the specific equipment. A complementary semi-structured Markdown corpus (lecture slides, dissertations) is stored in ChromaDB for RAG.</v>
      </c>
      <c r="EB3" s="14"/>
      <c r="EC3" s="14" t="s">
        <v>232</v>
      </c>
      <c r="ED3" s="15" t="s">
        <v>2222</v>
      </c>
      <c r="EE3" s="12" t="str">
        <f aca="false">IF(Comparison!$N$53="Resolved",IF(Comparison!$L$53="","",Comparison!$L$53),"⚠ UNRESOLVED")</f>
        <v>custom-test-set; expert-ground-truth</v>
      </c>
      <c r="EF3" s="15" t="str">
        <f aca="false">IF(Comparison!$M$53="","[R1] "&amp;Comparison!$J$53&amp;CHAR(10)&amp;CHAR(10)&amp;"[R2] "&amp;Comparison!$K$53,Comparison!$M$53)</f>
        <v>[R1] The test set is custom: 47 prompts from the partner's internal use-cases. Ground truth is expert-based, since suggestions were compared with the partner engineers' internal selections (Table 1, "Component suggested by partner"). Scoring uses ordinal suitability levels (correct type only / sufficient / fully suitable).
[R2] The test cases were internal use-cases from the industrial partner (custom-test-set). The evaluation compared the copilot's suggestions against the 'internal selection' made by the partner's automation engineers (expert-ground-truth). Section 3: 'the components suggested by the copilot were compared against the internal selection.'</v>
      </c>
      <c r="EG3" s="12" t="str">
        <f aca="false">IF(Comparison!$N$54="Resolved",IF(Comparison!$L$54="","",Comparison!$L$54),"⚠ UNRESOLVED")</f>
        <v>The system was evaluated using 47 equipment prompts derived from three internal ramp-up planning use-cases of an industrial partner. The outputs were compared against the partner's internal expert selections. Success was measured by whether the correct equipment type was selected, the correct subtype was identified, and whether all specific requirements were met.</v>
      </c>
      <c r="EH3" s="14"/>
      <c r="EI3" s="14"/>
      <c r="EJ3" s="14"/>
      <c r="EK3" s="14"/>
      <c r="EL3" s="14"/>
      <c r="EM3" s="14"/>
      <c r="EN3" s="14" t="s">
        <v>923</v>
      </c>
      <c r="EO3" s="15" t="s">
        <v>2223</v>
      </c>
      <c r="EP3" s="14" t="s">
        <v>2172</v>
      </c>
      <c r="EQ3" s="15" t="s">
        <v>2224</v>
      </c>
      <c r="ER3" s="12" t="str">
        <f aca="false">IF(Comparison!$N$55="Resolved",IF(Comparison!$L$55="","",Comparison!$L$55),"⚠ UNRESOLVED")</f>
        <v>Partially</v>
      </c>
      <c r="ES3" s="15" t="str">
        <f aca="false">IF(Comparison!$M$55="","[R1] "&amp;Comparison!$J$55&amp;CHAR(10)&amp;CHAR(10)&amp;"[R2] "&amp;Comparison!$K$55,Comparison!$M$55)</f>
        <v>[R1] Section 2 and Fig. 1 describe the architecture in good detail. They cover the orchestrator, equipment selection agent, relational knowledge system (SQLite3), semi-structured RAG system (ChromaDB, all-MiniLM-L6-v2, chunk size 750, overlap 150, top-3 retrieval by dot product), and the LangGraph state machine with GPT-4o, Django REST, Gradio and Azure. However, the pre-prompts are not given ("based on a predefined prompt (pre-prompt)"), the knowledge sources are internal ("lecture slides and dissertations provided by the WZL institute"), and the supplier catalogs are unspecified. Independent replication would therefore be difficult.
[R2] The paper provides a detailed description of the system architecture in Section 2 ('Copilot design'). It specifies the multi-agent design pattern, the state machine workflow (Fig. 1), the specific LLM used (GPT-4o), the vector database (ChromaDB) with embedding model (all-MiniLM-L6-v2), the relational database (SQLite3), and the framework (LangGraph). It also details RAG parameters such as chunk size (750) and overlap (150). Section 3 lists the specific technologies used (Django REST Framework, Gradio, Azure). This level of detail allows for independent replication of the system setup.</v>
      </c>
      <c r="ET3" s="14" t="s">
        <v>343</v>
      </c>
      <c r="EU3" s="15" t="s">
        <v>2225</v>
      </c>
      <c r="EV3" s="12" t="str">
        <f aca="false">IF(Comparison!$N$56="Resolved",IF(Comparison!$L$56="","",Comparison!$L$56),"⚠ UNRESOLVED")</f>
        <v>Partially</v>
      </c>
      <c r="EW3" s="15" t="str">
        <f aca="false">IF(Comparison!$M$56="","[R1] "&amp;Comparison!$J$56&amp;CHAR(10)&amp;CHAR(10)&amp;"[R2] "&amp;Comparison!$K$56,Comparison!$M$56)</f>
        <v>[R1] Sections 3 and 4 note scope limitations: "it does not support layout design" and "does not incorporate the ramp-up implementation phase." Future work is also listed. The paper does not discuss failure modes, hallucination residuals, external validity (single partner, two engineers), scalability, or evaluation bias.
[R2] Section 3 explicitly states limitations: 'it does not support layout design... Additionally, it does not incorporate the ramp-up implementation phase.' Section 4 (Conclusion) reiterates these limitations and discusses future directions like discrete-event simulation integration. The authors acknowledge that the system relies on specific domain knowledge and does not cover the full ramp-up process.</v>
      </c>
      <c r="EX3" s="12" t="str">
        <f aca="false">IF(Comparison!$N$57="Resolved",IF(Comparison!$L$57="","",Comparison!$L$57),"⚠ UNRESOLVED")</f>
        <v>Partially</v>
      </c>
      <c r="EY3" s="15" t="str">
        <f aca="false">IF(Comparison!$M$57="","[R1] "&amp;Comparison!$J$57&amp;CHAR(10)&amp;CHAR(10)&amp;"[R2] "&amp;Comparison!$K$57,Comparison!$M$57)</f>
        <v>[R1] Section 1 includes a Scopus/WoS search (198 and 85 articles) and briefly summarizes related LLM manufacturing works [21-26]. It identifies a gap: "no studies have been identified that propose LLM-driven methods or tools specifically designed to support automation engineers in equipment selection." It also contrasts with static rule-based methods [9,10]. There is no detailed or empirical comparison with existing solutions.
[R2] Section 1 (Introduction) reviews existing methods, noting they 'often rely on static rules and predefined knowledge' and 'lack generalization'. It contrasts the proposed LLM/RAG approach with these static methods and other LLM applications in manufacturing (assembly instructions, human-robot communication). The paper explicitly states: 'no studies have been identified that propose LLM-driven methods or tools specifically designed to support automation engineers in equipment selection during the ramp-up phase.'</v>
      </c>
      <c r="EZ3" s="14" t="s">
        <v>231</v>
      </c>
      <c r="FA3" s="14" t="s">
        <v>351</v>
      </c>
      <c r="FB3" s="14" t="s">
        <v>231</v>
      </c>
      <c r="FC3" s="14" t="s">
        <v>231</v>
      </c>
      <c r="FD3" s="16" t="s">
        <v>351</v>
      </c>
      <c r="FE3" s="14" t="s">
        <v>231</v>
      </c>
      <c r="FF3" s="15" t="s">
        <v>2226</v>
      </c>
      <c r="FG3" s="14" t="s">
        <v>231</v>
      </c>
      <c r="FH3" s="14" t="s">
        <v>231</v>
      </c>
      <c r="FI3" s="14"/>
      <c r="FJ3" s="14" t="s">
        <v>2178</v>
      </c>
    </row>
    <row r="4" customFormat="false" ht="60" hidden="false" customHeight="true" outlineLevel="0" collapsed="false">
      <c r="A4" s="7" t="s">
        <v>2227</v>
      </c>
      <c r="B4" s="7" t="s">
        <v>2228</v>
      </c>
      <c r="C4" s="7" t="s">
        <v>2229</v>
      </c>
      <c r="D4" s="16" t="s">
        <v>2111</v>
      </c>
      <c r="E4" s="14"/>
      <c r="F4" s="14" t="s">
        <v>2229</v>
      </c>
      <c r="G4" s="14" t="s">
        <v>2228</v>
      </c>
      <c r="H4" s="14" t="s">
        <v>2230</v>
      </c>
      <c r="I4" s="14" t="s">
        <v>2231</v>
      </c>
      <c r="J4" s="14" t="s">
        <v>2232</v>
      </c>
      <c r="K4" s="14" t="s">
        <v>2115</v>
      </c>
      <c r="L4" s="14" t="s">
        <v>2233</v>
      </c>
      <c r="M4" s="14" t="s">
        <v>2117</v>
      </c>
      <c r="N4" s="14" t="s">
        <v>2118</v>
      </c>
      <c r="O4" s="14" t="s">
        <v>264</v>
      </c>
      <c r="P4" s="14"/>
      <c r="Q4" s="14" t="s">
        <v>231</v>
      </c>
      <c r="R4" s="14" t="s">
        <v>185</v>
      </c>
      <c r="S4" s="15" t="s">
        <v>2234</v>
      </c>
      <c r="T4" s="14" t="s">
        <v>2121</v>
      </c>
      <c r="U4" s="15" t="s">
        <v>2235</v>
      </c>
      <c r="V4" s="12" t="str">
        <f aca="false">IF(Comparison!$N$58="Resolved",IF(Comparison!$L$58="","",Comparison!$L$58),"⚠ UNRESOLVED")</f>
        <v>Discrete manufacturing</v>
      </c>
      <c r="W4" s="15" t="str">
        <f aca="false">IF(Comparison!$M$58="","[R1] "&amp;Comparison!$J$58&amp;CHAR(10)&amp;CHAR(10)&amp;"[R2] "&amp;Comparison!$K$58,Comparison!$M$58)</f>
        <v>[R1] Sec. 4.2 states: 'The method in this paper is applicable to discrete manufacturing industries...' The case study is a discrete manufacturing shopfloor producing metal parts. The dataset sources also include motor manufacturing plants, machine processing workshops and textile companies (Sec. 4.1).
[R2] The abstract and introduction focus on 'modern industrial production' and 'discrete manufacturing shopfloor scenarios'. Section 4.2 specifically mentions 'discrete manufacturing shopfloor' and lists equipment such as 'CNC lathes, CNC milling machines, drilling machines, and inspection tables'. The case study involves a 'small discrete manufacturing shopfloor'.</v>
      </c>
      <c r="X4" s="12" t="str">
        <f aca="false">IF(Comparison!$N$59="Resolved",IF(Comparison!$L$59="","",Comparison!$L$59),"⚠ UNRESOLVED")</f>
        <v>Shopfloor (facility) layout generation for a small discrete manufacturing shopfloor with CNC lathes, CNC milling machines, drilling machines and inspection tables (single production line for metal parts); I-, L- and U-shaped layouts</v>
      </c>
      <c r="Y4" s="15" t="str">
        <f aca="false">IF(Comparison!$M$59="","[R1] "&amp;Comparison!$J$59&amp;CHAR(10)&amp;CHAR(10)&amp;"[R2] "&amp;Comparison!$K$59,Comparison!$M$59)</f>
        <v>[R1] Sec. 4.2: 'This paper used a small discrete manufacturing shopfloor as a case study, which is fully equipped with CNC lathes, CNC milling machines, drilling machines, and inspection tables, with only one production line for manufacturing different types of metal parts.' Three layout patterns (double-line/I-shape, L-shape, U-shape) were tested.
[R2] The entire paper is dedicated to 'Shopfloor layout generation'. Section 4.2 details the case study: 'In the context of discrete manufacturing shopfloor... this paper selected these three different layout models [I-shape, L-shape, U-shape] as the main content for the layout requirement experiments.' The domain is specifically the spatial arrangement of equipment in a manufacturing workshop.</v>
      </c>
      <c r="Z4" s="14" t="s">
        <v>264</v>
      </c>
      <c r="AA4" s="15" t="s">
        <v>2236</v>
      </c>
      <c r="AB4" s="14" t="s">
        <v>2125</v>
      </c>
      <c r="AC4" s="15" t="s">
        <v>2237</v>
      </c>
      <c r="AD4" s="14" t="s">
        <v>2238</v>
      </c>
      <c r="AE4" s="14"/>
      <c r="AF4" s="15" t="s">
        <v>2239</v>
      </c>
      <c r="AG4" s="14" t="s">
        <v>2129</v>
      </c>
      <c r="AH4" s="15" t="s">
        <v>2240</v>
      </c>
      <c r="AI4" s="12" t="str">
        <f aca="false">IF(Comparison!$N$60="Resolved",IF(Comparison!$L$60="","",Comparison!$L$60),"⚠ UNRESOLVED")</f>
        <v>3-concept-planning; 4-detailed-planning</v>
      </c>
      <c r="AJ4" s="15" t="str">
        <f aca="false">IF(Comparison!$M$60="","[R1] "&amp;Comparison!$J$60&amp;CHAR(10)&amp;CHAR(10)&amp;"[R2] "&amp;Comparison!$K$60,Comparison!$M$60)</f>
        <v>[R1] Generating layout variants following layout patterns (I/L/U-shaped) corresponds to concept planning (ideal/real layout) (Sec. 4.2). Exact equipment coordinates, safety distances, interference ranges and maintenance space (Sec. 3.2.2, Fig. 12) extend toward fine/detailed layout planning. The assignment to Phase 4 is uncertain ('?'); the paper does not reference VDI 5200 phases.
[R2] The method generates layout schemes/variants based on requirements and constraints. Section 4.2 mentions generating 'layout schemes' and comparing them. This corresponds to Phase 3 (Concept Planning) where layout variants are developed and evaluated, rather than detailed engineering (Phase 4) or realization (Phase 5/6). The paper focuses on the design/generation of the layout concept.</v>
      </c>
      <c r="AK4" s="14" t="s">
        <v>799</v>
      </c>
      <c r="AL4" s="15" t="s">
        <v>2241</v>
      </c>
      <c r="AM4" s="14" t="s">
        <v>264</v>
      </c>
      <c r="AN4" s="14" t="s">
        <v>220</v>
      </c>
      <c r="AO4" s="15" t="s">
        <v>2242</v>
      </c>
      <c r="AP4" s="12" t="str">
        <f aca="false">IF(Comparison!$N$61="Resolved",IF(Comparison!$L$61="","",Comparison!$L$61),"⚠ UNRESOLVED")</f>
        <v/>
      </c>
      <c r="AQ4" s="15" t="str">
        <f aca="false">IF(Comparison!$M$61="","[R1] "&amp;Comparison!$J$61&amp;CHAR(10)&amp;CHAR(10)&amp;"[R2] "&amp;Comparison!$K$61,Comparison!$M$61)</f>
        <v>[R1] No claim found; the authors do not use strategic/tactical/operational terminology.
[R2] The authors frame the work as 'shopfloor layout design' and 'layout generation'. While they don't use the word 'strategic' explicitly in a tier sense, the task of designing the factory layout is inherently a strategic/system-configuring activity in the context of factory planning. The abstract mentions 'adaptive and customizable potential' for 'modern industrial production', implying a design-level decision.</v>
      </c>
      <c r="AR4" s="14" t="s">
        <v>232</v>
      </c>
      <c r="AS4" s="15" t="s">
        <v>2243</v>
      </c>
      <c r="AT4" s="14" t="s">
        <v>232</v>
      </c>
      <c r="AU4" s="15" t="s">
        <v>2244</v>
      </c>
      <c r="AV4" s="12" t="str">
        <f aca="false">IF(Comparison!$N$62="Resolved",IF(Comparison!$L$62="","",Comparison!$L$62),"⚠ UNRESOLVED")</f>
        <v>Positions (2D coordinates on X/Z plane) and arrangement of preset equipment (CNC lathes, milling machines, drilling machines, inspection tables) within a shopfloor and production line. The layout follows I-, L- or U-shaped patterns while satisfying building, area and channel boundary constraints and inter-equipment constraints (safety distance, interference, maintenance space).</v>
      </c>
      <c r="AW4" s="12" t="str">
        <f aca="false">IF(Comparison!$N$63="Resolved",IF(Comparison!$L$63="","",Comparison!$L$63),"⚠ UNRESOLVED")</f>
        <v>none</v>
      </c>
      <c r="AX4" s="15" t="str">
        <f aca="false">IF(Comparison!$M$63="","[R1] "&amp;Comparison!$J$63&amp;CHAR(10)&amp;CHAR(10)&amp;"[R2] "&amp;Comparison!$K$63,Comparison!$M$63)</f>
        <v>[R1] [theoretical_framework_cited_reasoning] Muther's Systematic Layout Planning (SLP) is mentioned only as background in the Introduction ('the most classic approach is Richard Muther's Systematic Layout Planning'). It is not used to structure the method. CoT, ReAct and RAG are prompting techniques and do not count.
[theoretical_framework_rationale] The method is structured around prompt engineering (task decomposition into Role/Space/Factory/Request, equipment models, and a think-generate-evaluate iteration) rather than any planning-domain framework. SLP and VDI 5200 are not used to structure the scope.
[R2] [theoretical_framework_cited_reasoning] The paper cites 'Systematic Layout Planning (SLP)' by Richard Muther as the 'most classic approach' in Section 1. While SLP is a methodology/framework for layout planning, it is not one of the specific strategic planning frameworks listed in the enum (VDI-5200, SC-Planning-Matrix, etc.). Therefore, 'other' is the appropriate category, specifying SLP.</v>
      </c>
      <c r="AY4" s="15" t="str">
        <f aca="false">IF(Comparison!$M$63="","[R1] "&amp;Comparison!$J$63&amp;CHAR(10)&amp;CHAR(10)&amp;"[R2] "&amp;Comparison!$K$63,Comparison!$M$63)</f>
        <v>[R1] [theoretical_framework_cited_reasoning] Muther's Systematic Layout Planning (SLP) is mentioned only as background in the Introduction ('the most classic approach is Richard Muther's Systematic Layout Planning'). It is not used to structure the method. CoT, ReAct and RAG are prompting techniques and do not count.
[theoretical_framework_rationale] The method is structured around prompt engineering (task decomposition into Role/Space/Factory/Request, equipment models, and a think-generate-evaluate iteration) rather than any planning-domain framework. SLP and VDI 5200 are not used to structure the scope.
[R2] [theoretical_framework_cited_reasoning] The paper cites 'Systematic Layout Planning (SLP)' by Richard Muther as the 'most classic approach' in Section 1. While SLP is a methodology/framework for layout planning, it is not one of the specific strategic planning frameworks listed in the enum (VDI-5200, SC-Planning-Matrix, etc.). Therefore, 'other' is the appropriate category, specifying SLP.</v>
      </c>
      <c r="AZ4" s="12" t="str">
        <f aca="false">IF(Comparison!$N$64="Resolved",IF(Comparison!$L$64="","",Comparison!$L$64),"⚠ UNRESOLVED")</f>
        <v>NA</v>
      </c>
      <c r="BA4" s="12" t="str">
        <f aca="false">IF(Comparison!$N$65="Resolved",IF(Comparison!$L$65="","",Comparison!$L$65),"⚠ UNRESOLVED")</f>
        <v>The LLM generates 2D shopfloor equipment layouts from structured prompts. The prompt template has three parts. (1) A task description, Task = {Role, Space, Factory, Request}, covering role prompt, coordinate-system space definition, factory boundaries, and layout requirements such as I/L/U-shaped patterns. (2) Output prompts, consisting of layout examples and JSON output structure hints. (3) Contextual knowledge units: equipment mathematical, text-information and constraint models, retrieved by Word2vec/cosine-similarity RAG. The LLM works in an iterative 'think-generate-evaluate' loop. In the thinking step it checks whether the information is sufficient and identifies missing knowledge, which triggers re-retrieval. In the generation step it outputs a JSON layout with equipment positions and rotations. In the evaluation step it is combined with human decision-making to check layout pattern and constraint compliance and to queue adjustment tasks. A parser then converts the JSON into a 3D scene using THREEJS and GLTF models. The method is validated on a small discrete manufacturing shopfloor (CNC lathes, mills, drills, inspection tables) for I-, L- and U-shaped layouts, compared against a CoT baseline. Separately, a spatial-reasoning Q&amp;A dataset was used to test several LLMs.</v>
      </c>
      <c r="BB4" s="12" t="str">
        <f aca="false">IF(Comparison!$N$66="Resolved",IF(Comparison!$L$66="","",Comparison!$L$66),"⚠ UNRESOLVED")</f>
        <v>Mixtral 8x7B</v>
      </c>
      <c r="BC4" s="15" t="str">
        <f aca="false">IF(Comparison!$M$66="","[R1] "&amp;Comparison!$J$66&amp;CHAR(10)&amp;CHAR(10)&amp;"[R2] "&amp;Comparison!$K$66,Comparison!$M$66)</f>
        <v>[R1] Section 4.2 states that the open-source Mixtral 8x7B was deployed locally (temperature 0.5) for the method validation; the comparative experiments and ablation also all used Mixtral 8x7B. Section 4.1 tested GPT-3.5 (turbo), GPT-4, ChatGLM3-6B (14 March 2024 version) and Mixtral 8x7B on the authors' spatial-reasoning Q&amp;A dataset. That test was a capability evaluation of LLMs, not a run of the full layout-generation method, so these models are not listed. This is borderline (?). ChatGPT is also mentioned in the introduction.
[R2] Section 4.1 states: 'This paper tested several representative language models... GPT-3.5 (turbo) and GPT-4... ChatGLM3-6B and Mixtral 8x7B'. Section 4.2 states: 'In this case, this paper employed the open-source large language model Mixtral 8x7B for local deployment'. The Q&amp;A dataset evaluation in 4.1 tests all four. The method validation in 4.2 specifically uses Mixtral 8x7B. GPT-4 and GPT-3.5 are used for the capability evaluation (Q&amp;A dataset) and potentially as baselines or comparisons, but Mixtral is the primary model for the case study layout generation. The prompt says 'deployed and evaluated with the paper's own method'. The Q&amp;A dataset is part of the evaluation of the LLMs' potential for the method. The case study uses Mixtral. I will include all tested models as they are evaluated in the context of the paper's proposed approach (spatial reasoning for layout).</v>
      </c>
      <c r="BD4" s="12" t="str">
        <f aca="false">IF(Comparison!$N$67="Resolved",IF(Comparison!$L$67="","",Comparison!$L$67),"⚠ UNRESOLVED")</f>
        <v>Mixtral 8x7B is used for layout generation in the case study, the CoT-baseline comparison and the ablation. GPT-4, GPT-3.5, ChatGLM3-6B and Mixtral were benchmarked only on the spatial-reasoning Q&amp;A dataset (Section 4.1, Figure 11).</v>
      </c>
      <c r="BE4" s="12" t="str">
        <f aca="false">IF(Comparison!$N$68="Resolved",IF(Comparison!$L$68="","",Comparison!$L$68),"⚠ UNRESOLVED")</f>
        <v>Mistral</v>
      </c>
      <c r="BF4" s="15" t="str">
        <f aca="false">IF(Comparison!$M$68="","[R1] "&amp;Comparison!$J$68&amp;CHAR(10)&amp;CHAR(10)&amp;"[R2] "&amp;Comparison!$K$68,Comparison!$M$68)</f>
        <v>[R1] Mixtral 8x7B is a Mistral AI sparse mixture-of-experts model (Section 4.1/4.2).
[R2] Mixtral 8x7B is a Mistral-derived model (Section 4.1). GPT-4 and GPT-3.5 are OpenAI GPT family (Section 4.1). ChatGLM3-6B is the GLM family (Section 4.1).</v>
      </c>
      <c r="BG4" s="14"/>
      <c r="BH4" s="12" t="str">
        <f aca="false">IF(Comparison!$N$69="Resolved",IF(Comparison!$L$69="","",Comparison!$L$69),"⚠ UNRESOLVED")</f>
        <v>Y</v>
      </c>
      <c r="BI4" s="15" t="str">
        <f aca="false">IF(Comparison!$M$69="","[R1] "&amp;Comparison!$J$69&amp;CHAR(10)&amp;CHAR(10)&amp;"[R2] "&amp;Comparison!$K$69,Comparison!$M$69)</f>
        <v>[R1] The paper calls Mixtral 8x7B 'open-source' and a SMoE model 'with open weights' (Sections 4.1, 4.2).
[R2] Mixtral 8x7B is described as an 'open-source large language model' (Section 4.2) and 'open weights' (Section 4.1). ChatGLM3-6B is typically open-weight (Zhipu AI). GPT-4 and GPT-3.5 are proprietary (OpenAI). Thus, the set of models includes both open-weight and proprietary models.</v>
      </c>
      <c r="BJ4" s="12" t="str">
        <f aca="false">IF(Comparison!$N$70="Resolved",IF(Comparison!$L$70="","",Comparison!$L$70),"⚠ UNRESOLVED")</f>
        <v>8x7B</v>
      </c>
      <c r="BK4" s="12" t="str">
        <f aca="false">IF(Comparison!$N$71="Resolved",IF(Comparison!$L$71="","",Comparison!$L$71),"⚠ UNRESOLVED")</f>
        <v>local-on-prem</v>
      </c>
      <c r="BL4" s="15" t="str">
        <f aca="false">IF(Comparison!$M$71="","[R1] "&amp;Comparison!$J$71&amp;CHAR(10)&amp;CHAR(10)&amp;"[R2] "&amp;Comparison!$K$71,Comparison!$M$71)</f>
        <v>[R1] Section 4.2: 'employed the open-source large language model Mixtral 8 × 7B for local deployment'.
[R2] Section 4.2 states Mixtral 8x7B was used for 'local deployment'. Section 4.1 mentions testing GPT-3.5 and GPT-4, which are typically accessed via API. The paper does not explicitly state how GPT models were accessed, but 'local deployment' is explicitly stated for Mixtral. Given the mix of open-source (local) and proprietary (likely API) models, 'mixed' is the most accurate classification.</v>
      </c>
      <c r="BM4" s="14" t="s">
        <v>2142</v>
      </c>
      <c r="BN4" s="15" t="s">
        <v>2245</v>
      </c>
      <c r="BO4" s="14" t="s">
        <v>467</v>
      </c>
      <c r="BP4" s="15" t="s">
        <v>2246</v>
      </c>
      <c r="BQ4" s="14"/>
      <c r="BR4" s="14"/>
      <c r="BS4" s="12" t="str">
        <f aca="false">IF(Comparison!$N$72="Resolved",IF(Comparison!$L$72="","",Comparison!$L$72),"⚠ UNRESOLVED")</f>
        <v>few-shot; CoT; ReAct; structured-output; other</v>
      </c>
      <c r="BT4" s="15" t="str">
        <f aca="false">IF(Comparison!$M$72="","[R1] "&amp;Comparison!$J$72&amp;CHAR(10)&amp;CHAR(10)&amp;"[R2] "&amp;Comparison!$K$72,Comparison!$M$72)</f>
        <v>[R1] Section 3.2.3: the output prompt includes 'examples of layouts and output structure hints' (few-shot, structured JSON output). Section 3.2.1: role prompts define the LLM's role (role prompting, coded as other). Section 3.3: a stepwise think-generate-evaluate reasoning chain 'inspired by advanced frameworks such as COT and ReAct'. In it, the thinking step identifies missing knowledge and triggers retrieval (Figure 9, 'Action: Retrieve relevant information'), which is a ReAct-like interleaving of reasoning and action. Task decomposition into subtasks and keyword strategies are also described.
[R2] Section 3.3 mentions 'a stepwise strategy inspired by advanced frameworks such as COT (Chain-of-Thought)'. The method uses an iterative 'think-generate-evaluate' cycle which aligns with CoT/ReAct-like reasoning. Section 3.2.3 describes constructing prompt templates with 'output structure hints' and using JSON, which fits 'structured-output'. The 'other' category is used for the specific 'Prompt Engineering' strategies described, such as role prompting, space definition, and knowledge unit integration, which are specific to this domain application.</v>
      </c>
      <c r="BU4" s="12" t="str">
        <f aca="false">IF(Comparison!$N$73="Resolved",IF(Comparison!$L$73="","",Comparison!$L$73),"⚠ UNRESOLVED")</f>
        <v>Role prompting; task decomposition into subtasks; dynamic/static prompt templates with retrieved knowledge units.</v>
      </c>
      <c r="BV4" s="14" t="s">
        <v>2147</v>
      </c>
      <c r="BW4" s="15" t="s">
        <v>2247</v>
      </c>
      <c r="BX4" s="12" t="str">
        <f aca="false">IF(Comparison!$N$74="Resolved",IF(Comparison!$L$74="","",Comparison!$L$74),"⚠ UNRESOLVED")</f>
        <v>prompt-chaining; evaluator-optimizer</v>
      </c>
      <c r="BY4" s="15" t="str">
        <f aca="false">IF(Comparison!$M$74="","[R1] "&amp;Comparison!$J$74&amp;CHAR(10)&amp;CHAR(10)&amp;"[R2] "&amp;Comparison!$K$74,Comparison!$M$74)</f>
        <v>[R1] The think, generate and evaluate steps are 'connected in series to form a reasoning chain' (prompt-chaining). The evaluation step (LLM assessment plus human decision) identifies adjustments and adds tasks to the queue for regeneration, iterating until tasks are exhausted (evaluator-optimizer; Section 3.3, Figure 9).
[R2] Section 3.3 describes an 'iterative reasoning mechanism' with 'thinking, generation, and evaluation' connected in series. The evaluation step assesses the generated layout and feeds back adjustments for the next iteration. This matches the 'evaluator-optimizer' pattern where one component generates and another (or the same in a loop) evaluates and refines.</v>
      </c>
      <c r="BZ4" s="14" t="s">
        <v>2206</v>
      </c>
      <c r="CA4" s="14" t="s">
        <v>232</v>
      </c>
      <c r="CB4" s="12" t="str">
        <f aca="false">IF(Comparison!$N$75="Resolved",IF(Comparison!$L$75="","",Comparison!$L$75),"⚠ UNRESOLVED")</f>
        <v>TRUE</v>
      </c>
      <c r="CC4" s="15" t="s">
        <v>2248</v>
      </c>
      <c r="CD4" s="14" t="s">
        <v>2249</v>
      </c>
      <c r="CE4" s="15" t="s">
        <v>2250</v>
      </c>
      <c r="CF4" s="12" t="str">
        <f aca="false">IF(Comparison!$N$76="Resolved",IF(Comparison!$L$76="","",Comparison!$L$76),"⚠ UNRESOLVED")</f>
        <v>FALSE</v>
      </c>
      <c r="CG4" s="15" t="str">
        <f aca="false">IF(Comparison!$M$76="","[R1] "&amp;Comparison!$J$76&amp;CHAR(10)&amp;CHAR(10)&amp;"[R2] "&amp;Comparison!$K$76,Comparison!$M$76)</f>
        <v>[R1] Borderline case (?). The proposed method has no mathematical program, no solver and no metaheuristic. Instead, an LLM (Mixtral 8x7B) generates shopfloor layouts, i.e., coordinates of rectangular equipment in 2D. It does this inside an iterative 'think-generate-evaluate' loop (Sec. 3.3). Each round's layout is checked against constraints (safety distances, boundaries, overlap/interference) and layout-pattern requirements, and the next round refines it. The task is framed as a facility layout problem: 'determine the positioning and arrangement of these elements… to meet design conditions and achieve specific design objectives' (Sec. 3.2.1). Results are scored on space utilization and constraint satisfaction (Sec. 4.2, Table 2). This amounts to an LLM-driven iterative search over a constrained layout problem, so it is coded as present. However, the authors explicitly distance the work from optimization: 'generative methods are not directly comparable to traditional approaches' (Sec. 4.2). Classical optimization (SLP-based GA, PSO, SA, RL) appears only in the Introduction and Related Work.
[R2] The paper proposes a method based on Large Language Models (LLMs) and Prompt Engineering to generate shopfloor layouts. It explicitly states in Section 4.2 that 'In traditional workshop layout methods, the layout is developed using mathematical models and optimization algorithms... In contrast, language models are data-driven and generative'. The proposed method does not formulate or solve a formal optimization problem (like MILP, metaheuristic, or RL) itself; instead, it uses LLM reasoning (Chain-of-Thought, ReAct-style iteration) to generate solutions. Optimization algorithms are only mentioned in the Introduction and Related Works as background or traditional approaches, not as part of the proposed method's core mechanism.</v>
      </c>
      <c r="CH4" s="12" t="str">
        <f aca="false">IF(Comparison!$N$77="Resolved",IF(Comparison!$L$77="","",Comparison!$L$77),"⚠ UNRESOLVED")</f>
        <v>none</v>
      </c>
      <c r="CI4" s="15" t="str">
        <f aca="false">IF(Comparison!$M$77="","[R1] "&amp;Comparison!$J$77&amp;CHAR(10)&amp;CHAR(10)&amp;"[R2] "&amp;Comparison!$K$77,Comparison!$M$77)</f>
        <v>[R1] No explicit objective function or formal model is stated. Constraints are described in structured JSON/text form (comprehensive and relationship constraints, Sec. 3.2.2, Fig. 6). Objectives such as space utilization and layout-pattern conformity are named informally and are evaluated by the LLM plus human decision-making (Fig. 9). Hence the level is low.
[R2] Since the proposed method does not perform formal optimization (optimization_tradition_present is false), the formalization level is 'none'. The method relies on semantic representation and prompt engineering rather than mathematical programming.</v>
      </c>
      <c r="CJ4" s="12" t="str">
        <f aca="false">IF(Comparison!$N$78="Resolved",IF(Comparison!$L$78="","",Comparison!$L$78),"⚠ UNRESOLVED")</f>
        <v/>
      </c>
      <c r="CK4" s="15" t="str">
        <f aca="false">IF(Comparison!$M$78="","[R1] "&amp;Comparison!$J$78&amp;CHAR(10)&amp;CHAR(10)&amp;"[R2] "&amp;Comparison!$K$78,Comparison!$M$78)</f>
        <v>[R1] The search is performed by prompting an LLM iteratively: CoT/ReAct-inspired think-generate-evaluate cycles with RAG retrieval of equipment knowledge (Word2vec + cosine similarity). None of the listed paradigms (MILP, metaheuristic, RL, etc.) applies.
[R2] No optimization paradigm is used by the proposed method. The method uses LLM generation and iterative reasoning (Think-Generate-Evaluate), which is not classified as a standard OR optimization paradigm in this schema. Traditional paradigms like metaheuristics or RL are mentioned only as related work or baselines, not as the method's own optimization engine.</v>
      </c>
      <c r="CL4" s="12" t="str">
        <f aca="false">IF(Comparison!$N$79="Resolved",IF(Comparison!$L$79="","",Comparison!$L$79),"⚠ UNRESOLVED")</f>
        <v>NA</v>
      </c>
      <c r="CM4" s="12" t="str">
        <f aca="false">IF(Comparison!$N$80="Resolved",IF(Comparison!$L$80="","",Comparison!$L$80),"⚠ UNRESOLVED")</f>
        <v>none</v>
      </c>
      <c r="CN4" s="15" t="str">
        <f aca="false">IF(Comparison!$M$80="","[R1] "&amp;Comparison!$J$80&amp;CHAR(10)&amp;CHAR(10)&amp;"[R2] "&amp;Comparison!$K$80,Comparison!$M$80)</f>
        <v>[R1] The LLM itself proposes layout solutions as JSON coordinates and refines them over iterations based on evaluation feedback (Sec. 3.3, Fig. 9), which fits 'direct-optimizer' (?). In the evaluation stage, 'LLMs Assessment' combined with human decision-making checks whether outcomes align with the layout pattern and which constraints are not fulfilled (Fig. 9), which fits 'verifier'. No external solver is used.
[R2] The LLM acts as the primary engine for generating and refining the layout solution. Section 3.3 describes a 'Multi-step reasoning iteration' where the LLM performs 'thinking, generation, and evaluation' to iteratively improve the layout. This aligns with the 'direct-optimizer' role where the LLM itself proposes and iteratively improves solutions, rather than just formulating a model for an external solver or designing a heuristic algorithm to be run separately. It does not call an external solver (solver-orchestrator) nor does it primarily verify existing solutions (verifier) in the context of an external optimizer.</v>
      </c>
      <c r="CO4" s="14" t="s">
        <v>264</v>
      </c>
      <c r="CP4" s="15" t="s">
        <v>2251</v>
      </c>
      <c r="CQ4" s="12" t="str">
        <f aca="false">IF(Comparison!$N$81="Resolved",IF(Comparison!$L$81="","",Comparison!$L$81),"⚠ UNRESOLVED")</f>
        <v>NA</v>
      </c>
      <c r="CR4" s="14" t="s">
        <v>2252</v>
      </c>
      <c r="CS4" s="15" t="s">
        <v>2253</v>
      </c>
      <c r="CT4" s="14" t="s">
        <v>859</v>
      </c>
      <c r="CU4" s="15" t="s">
        <v>2254</v>
      </c>
      <c r="CV4" s="12" t="str">
        <f aca="false">IF(Comparison!$N$82="Resolved",IF(Comparison!$L$82="","",Comparison!$L$82),"⚠ UNRESOLVED")</f>
        <v>Author-built spatial-reasoning Q&amp;A dataset (340 questions; categories: absolute/relative position 57, coordinate transformation 85, spatial relationship 107, circumstances 91); not public</v>
      </c>
      <c r="CW4" s="15" t="str">
        <f aca="false">IF(Comparison!$M$82="","[R1] "&amp;Comparison!$J$82&amp;CHAR(10)&amp;CHAR(10)&amp;"[R2] "&amp;Comparison!$K$82,Comparison!$M$82)</f>
        <v>[R1] Table 1 and Sec. 4.1 describe the dataset. It was derived from multi-source enterprise documents (motor manufacturing, machining workshops, textile companies), rewritten and augmented, then expert-reviewed. It cannot be made public because it contains proprietary enterprise information.
[R2] Section 4.1 and Table 1 describe a specialized Q&amp;A dataset constructed by the authors to evaluate LLMs' spatial reasoning. The total number of questions is the sum of the counts in Table 1 (57+85+107+91 = 340). The dataset is not public due to proprietary enterprise information.</v>
      </c>
      <c r="CX4" s="14" t="s">
        <v>2255</v>
      </c>
      <c r="CY4" s="15" t="s">
        <v>2256</v>
      </c>
      <c r="CZ4" s="12" t="n">
        <f aca="false">IF(Comparison!$N$83="Resolved",IF(Comparison!$L$83="","",Comparison!$L$83),"⚠ UNRESOLVED")</f>
        <v>15</v>
      </c>
      <c r="DA4" s="15" t="str">
        <f aca="false">IF(Comparison!$M$83="","[R1] "&amp;Comparison!$J$83&amp;CHAR(10)&amp;CHAR(10)&amp;"[R2] "&amp;Comparison!$K$83,Comparison!$M$83)</f>
        <v>[R1] The Fig. 11 accuracy values are not stated numerically in the text and were read approximately from the bar chart, so they are uncertain ('?'). The Table 2 and Table 3 values are reported exactly. The Table 2 element counts are 8, 10 and 15.
[R2] Metrics are extracted from Table 2 (Comparison of COT with proposed method) and Table 3 (Ablation study) in Section 4.2. The values are normalized scores (0-1) for space utilization, compliance, layout pattern accuracy, and constraint satisfaction. The Q&amp;A dataset accuracy is shown in Figure 11 but specific numerical values per model/category are not explicitly tabulated in text, only described qualitatively as 'high accuracy' and 'GPT-4 significantly outperformed'.</v>
      </c>
      <c r="DB4" s="14" t="s">
        <v>799</v>
      </c>
      <c r="DC4" s="15" t="s">
        <v>2257</v>
      </c>
      <c r="DD4" s="12" t="str">
        <f aca="false">IF(Comparison!$N$84="Resolved",IF(Comparison!$L$84="","",Comparison!$L$84),"⚠ UNRESOLVED")</f>
        <v>340 Q&amp;A questions; case layouts with 8, 10 and 15 elements; ablation with 10 devices</v>
      </c>
      <c r="DE4" s="15" t="str">
        <f aca="false">IF(Comparison!$M$84="","[R1] "&amp;Comparison!$J$84&amp;CHAR(10)&amp;CHAR(10)&amp;"[R2] "&amp;Comparison!$K$84,Comparison!$M$84)</f>
        <v>[R1] The question count is summed from Table 1 (57+85+107+91=340). Element counts come from Table 2, and the ablation configuration from Sec. 4.2.
[R2] Table 1 lists the number of questions per category (57+85+107+91=340). Section 4.2 describes the case study using a single shopfloor scenario with 3 layout patterns and testing with 8, 10, and 15 equipment elements.</v>
      </c>
      <c r="DF4" s="16" t="s">
        <v>264</v>
      </c>
      <c r="DG4" s="14" t="s">
        <v>231</v>
      </c>
      <c r="DH4" s="16" t="s">
        <v>2218</v>
      </c>
      <c r="DI4" s="14" t="s">
        <v>231</v>
      </c>
      <c r="DJ4" s="15" t="s">
        <v>2258</v>
      </c>
      <c r="DK4" s="12" t="str">
        <f aca="false">IF(Comparison!$N$85="Resolved",IF(Comparison!$L$85="","",Comparison!$L$85),"⚠ UNRESOLVED")</f>
        <v>The method requires detailed equipment information, clearly known equipment constraints, and expert involvement during generation.; Layout reasoning becomes harder when device constraints are unknown or must be mined deeply, or when hard and soft constraints must be fully satisfied in complex scenarios, because the method relies on general LLM capability without downstream task adaptation or fine-tuning.; The problem is simplified to a 2D plane with rectangular equipment; the Q&amp;A dataset is small-scale and cannot be made public; and generative methods are not directly comparable to traditional optimization approaches.; The method relies on sufficient support from detailed equipment information and clear knowledge of equipment constraints.; Layout reasoning is challenging when device constraints are unknown or need to be mined deeply.; The method mainly utilizes the generalized capability of the LLM without deeper downstream task adaptation training (fine-tuning).</v>
      </c>
      <c r="DL4" s="15" t="str">
        <f aca="false">IF(Comparison!$M$85="","[R1] "&amp;Comparison!$J$85&amp;CHAR(10)&amp;CHAR(10)&amp;"[R2] "&amp;Comparison!$K$85,Comparison!$M$85)</f>
        <v>[R1] Drawn from Sec. 5 (Discussion), Sec. 3.2.1 (2D simplification), Sec. 4.1 (dataset not public, small-scale) and Sec. 4.2 (non-comparability with traditional methods).
[R2] Section 5 (Discussion) explicitly states these limitations: 'It is important to note that the proposed method is suitable when there is sufficient support from detailed equipment information... layout reasoning will be more challenging when the constraints of the device are unknown... This is due to the fact that the method in this paper mainly utilizes the generalized capability of the large language model without deeper downstream task adaptation training.'</v>
      </c>
      <c r="DM4" s="12" t="str">
        <f aca="false">IF(Comparison!$N$86="Resolved",IF(Comparison!$L$86="","",Comparison!$L$86),"⚠ UNRESOLVED")</f>
        <v>All four LLMs showed reasonably high accuracy on the spatial-reasoning Q&amp;A set, with GPT-4 best and Mixtral 8x7B performing surprisingly well. In the shopfloor case using Mixtral 8x7B, the proposed prompt-engineering method (structured JSON representation, RAG-based knowledge units, think-generate-evaluate iteration) outperformed a CoT baseline on space utilization, I/L/U layout pattern accuracy, and constraint satisfaction, especially as element count increased. Compliance was similar for both. Ablation showed that removing constraint representation sharply reduced constraint satisfaction (0.013), and that removing question decomposition or multi-step iteration also degraded results.</v>
      </c>
      <c r="DN4" s="14"/>
      <c r="DO4" s="14"/>
      <c r="DP4" s="14"/>
      <c r="DQ4" s="14" t="s">
        <v>232</v>
      </c>
      <c r="DR4" s="15" t="s">
        <v>2259</v>
      </c>
      <c r="DS4" s="12" t="str">
        <f aca="false">IF(Comparison!$N$87="Resolved",IF(Comparison!$L$87="","",Comparison!$L$87),"⚠ UNRESOLVED")</f>
        <v>iterative-feedback</v>
      </c>
      <c r="DT4" s="15" t="str">
        <f aca="false">IF(Comparison!$M$87="","[R1] "&amp;Comparison!$J$87&amp;CHAR(10)&amp;CHAR(10)&amp;"[R2] "&amp;Comparison!$K$87,Comparison!$M$87)</f>
        <v>[R1] Section 3.3 and Figure 9: each iteration ends in an evaluation where a human ('Decision-making') and the LLM assess the generated layout and give "guidance for necessary adjustments". This identifies tasks to add to the queue for the next cycle, which steers the next iteration. In the COT baseline (Sec 4.2), experts also "continue to give appropriate layout knowledge and prompts for guidance", but that applies to the baseline, not the proposed method.
[R2] The system uses an iterative loop where the human evaluates the generated layout and provides guidance for the next iteration ('iterative-feedback'). The evaluation step acts as a gate where the human decides if the layout is acceptable or needs adjustment ('approval-gate'). Section 3.3: 'The evaluation part is to evaluate the LLMs of the generated layout and make manual decisions... and guidance for necessary adjustments.'</v>
      </c>
      <c r="DU4" s="12" t="str">
        <f aca="false">IF(Comparison!$N$88="Resolved",IF(Comparison!$L$88="","",Comparison!$L$88),"⚠ UNRESOLVED")</f>
        <v>In the think-generate-evaluate loop, the evaluation stage combines LLM self-assessment with manual human decision-making. Together they check the layout against the layout pattern, constraints and overall requirements, and give adjustment guidance that defines the tasks for the next iteration.</v>
      </c>
      <c r="DV4" s="14"/>
      <c r="DW4" s="14" t="s">
        <v>232</v>
      </c>
      <c r="DX4" s="15" t="s">
        <v>2260</v>
      </c>
      <c r="DY4" s="12" t="str">
        <f aca="false">IF(Comparison!$N$89="Resolved",IF(Comparison!$L$89="","",Comparison!$L$89),"⚠ UNRESOLVED")</f>
        <v>structured-schema; mathematical-model</v>
      </c>
      <c r="DZ4" s="15" t="str">
        <f aca="false">IF(Comparison!$M$89="","[R1] "&amp;Comparison!$J$89&amp;CHAR(10)&amp;CHAR(10)&amp;"[R2] "&amp;Comparison!$K$89,Comparison!$M$89)</f>
        <v>[R1] Structured-schema: the UML metamodel and JSON format for shopfloor/production line/equipment, including constraint fields (Sec 3.1, Figs 1-2). Mathematical-model: the 'Mathematical Model: For accurately quantifying equipment dimensions and spatial requirements' and the 2D coordinate representation of rectangular elements (Sec 3.2.1-3.2.2, Fig 5). The knowledge units (E, R) resemble a graph, but no explicit knowledge graph is described, and retrieval uses Word2vec plus cosine similarity. Knowledge graph was therefore not coded (?).
[R2] The paper defines an 'information metamodel' with three levels (Shopfloor, Production Line, Equipment) and specific attributes for each. It uses JSON as the data format. This fits the definition of a 'structured-schema' (non-graph metamodel or schema for domain entities and constraints). It is not a formal ontology (OWL/RDF) or a knowledge graph in the traditional sense, but a structured data schema. Section 3.1: 'An information metamodel is a framework for describing and representing information... Three levels were designed...'.</v>
      </c>
      <c r="EA4" s="12" t="str">
        <f aca="false">IF(Comparison!$N$90="Resolved",IF(Comparison!$L$90="","",Comparison!$L$90),"⚠ UNRESOLVED")</f>
        <v>A hierarchical information metamodel (Shopfloor &gt; Production line &gt; Equipment) is encoded in JSON (DTDL-like ids, GLTF model references). Equipment attributes cover basic info, geometric info (work area, interference range, dimensions), position/rotation and layout constraints (inter/intra: building, area and channel boundaries; relationship constraints with target, relation, type, value and rules). Each piece of equipment has a mathematical, a text information and a constraint model. Knowledge units of elements and relations are retrieved via Word2vec/cosine RAG into the prompt templates. A parser validates the generated JSON and drives THREE.js 3D rendering.</v>
      </c>
      <c r="EB4" s="14"/>
      <c r="EC4" s="14" t="s">
        <v>232</v>
      </c>
      <c r="ED4" s="15" t="s">
        <v>2261</v>
      </c>
      <c r="EE4" s="12" t="str">
        <f aca="false">IF(Comparison!$N$91="Resolved",IF(Comparison!$L$91="","",Comparison!$L$91),"⚠ UNRESOLVED")</f>
        <v>custom-test-set; expert-ground-truth; domain-specific-metric</v>
      </c>
      <c r="EF4" s="15" t="str">
        <f aca="false">IF(Comparison!$M$91="","[R1] "&amp;Comparison!$J$91&amp;CHAR(10)&amp;CHAR(10)&amp;"[R2] "&amp;Comparison!$K$91,Comparison!$M$91)</f>
        <v>[R1] Custom-test-set: the authors' Q&amp;A dataset built from enterprise documents, and the case scenarios. Expert-ground-truth: Q&amp;A answers were designed and matched by professional team members, with expert review ("professional team members to design questions and match answers based on domain knowledge"). Domain-specific-metric: space utilization and constraint satisfaction (comprehensive/relational) in Table 2.
[R2] The authors created a 'specialized Q&amp;A dataset' (Section 4.1) to test spatial reasoning, which is a custom test set. For the layout generation task, they use domain-specific metrics such as 'space utilization', 'compliance', and constraint satisfaction scores (Section 4.2, Table 2).</v>
      </c>
      <c r="EG4" s="12" t="str">
        <f aca="false">IF(Comparison!$N$92="Resolved",IF(Comparison!$L$92="","",Comparison!$L$92),"⚠ UNRESOLVED")</f>
        <v>Two parts. (1) A spatial-reasoning Q&amp;A benchmark covering absolute/relative position, coordinate transformation, spatial relationship and circumstances; accuracy is assessed per LLM. (2) Layout generation with Mixtral 8x7B (temperature 0.5) against a COT baseline (max 10 rounds) across element counts and layout shapes, using space utilization, compliance, layout requirement satisfaction and constraint satisfaction. An ablation of question decomposition, constraint representation and multi-step iteration used 10 devices in a U-shape with 6 iterations.</v>
      </c>
      <c r="EH4" s="14"/>
      <c r="EI4" s="14"/>
      <c r="EJ4" s="14"/>
      <c r="EK4" s="14"/>
      <c r="EL4" s="14"/>
      <c r="EM4" s="14"/>
      <c r="EN4" s="12" t="str">
        <f aca="false">IF(Comparison!$N$93="Resolved",IF(Comparison!$L$93="","",Comparison!$L$93),"⚠ UNRESOLVED")</f>
        <v>information-acquisition; information-analysis</v>
      </c>
      <c r="EO4" s="15" t="str">
        <f aca="false">IF(Comparison!$M$93="","[R1] "&amp;Comparison!$J$93&amp;CHAR(10)&amp;CHAR(10)&amp;"[R2] "&amp;Comparison!$K$93,Comparison!$M$93)</f>
        <v>[R1] Information-acquisition: RAG retrieval of equipment knowledge, plus a thinking step that identifies missing knowledge and re-retrieves (Sec 3.3). Information-analysis: the LLM generates layout schemes (positions/rotations in JSON) and evaluates them against constraints. Action-implementation: the generated JSON is parsed and rendered into a 3D scene via THREE.js (Sec 3.1). This is borderline, since it writes the plan into a visualization system (?). Final decision selection rests with human decision-making.
[R2] The system analyzes the input layout requirements and equipment data to generate a layout plan (information-analysis/design). It then selects a specific arrangement of equipment that satisfies constraints (decision-selection). It does not implement the physical layout (action-implementation) nor does it primarily focus on acquiring raw data from sensors (information-acquisition), though it retrieves knowledge from a database (RAG). The core contribution is the generation of the layout plan itself.</v>
      </c>
      <c r="EP4" s="14" t="s">
        <v>2262</v>
      </c>
      <c r="EQ4" s="15" t="s">
        <v>2263</v>
      </c>
      <c r="ER4" s="14" t="s">
        <v>343</v>
      </c>
      <c r="ES4" s="15" t="s">
        <v>2264</v>
      </c>
      <c r="ET4" s="12" t="str">
        <f aca="false">IF(Comparison!$N$94="Resolved",IF(Comparison!$L$94="","",Comparison!$L$94),"⚠ UNRESOLVED")</f>
        <v>Partially</v>
      </c>
      <c r="EU4" s="15" t="str">
        <f aca="false">IF(Comparison!$M$94="","[R1] "&amp;Comparison!$J$94&amp;CHAR(10)&amp;CHAR(10)&amp;"[R2] "&amp;Comparison!$K$94,Comparison!$M$94)</f>
        <v>[R1] I treat this as category A/B (empirical comparison on a case).
Strengths:
- A Q&amp;A dataset (Table 1: 57/85/107/91 questions) was used to test four LLMs (Fig. 11).
- The method was compared with a CoT baseline on Mixtral 8x7B across element counts 8/10/15 and I/L/U layouts (Table 2).
- An ablation study is reported (Table 3).
Weaknesses:
- Metric definitions are only qualitative ('Space utilization measures the efficiency of space use…'); how scores such as layout-requirement accuracy are computed is unclear.
- No variance, no repeated runs and no statistical tests are reported.
- Sample sizes per Table 2 condition are not stated.
- The CoT baseline relies on experts giving guidance, and the evaluation is partly manual.
- Fig. 11 accuracies are shown only as bars.
- The case is a single small shopfloor.
[R2] The paper provides a Q&amp;A dataset for spatial reasoning evaluation (Table 1, Figure 11) and a case study comparing the proposed method against Chain-of-Thought (COT) baselines (Table 2). It includes ablation studies (Table 3) and qualitative examples of generated layouts (Figure 12). Metrics such as space utilization, compliance, and constraint satisfaction are defined and reported.</v>
      </c>
      <c r="EV4" s="12" t="str">
        <f aca="false">IF(Comparison!$N$95="Resolved",IF(Comparison!$L$95="","",Comparison!$L$95),"⚠ UNRESOLVED")</f>
        <v>Partially</v>
      </c>
      <c r="EW4" s="15" t="str">
        <f aca="false">IF(Comparison!$M$95="","[R1] "&amp;Comparison!$J$95&amp;CHAR(10)&amp;CHAR(10)&amp;"[R2] "&amp;Comparison!$K$95,Comparison!$M$95)</f>
        <v>[R1] Sec. 5 notes the method 'is suitable when there is sufficient support from detailed equipment information and clear knowledge of equipment constraints, along with the need for expert involvement'. It also states that reasoning is 'more challenging when the constraints of the device are unknown' and that there is no downstream fine-tuning. The 2D simplification is acknowledged as an assumption (Sec. 3.2.1), and the inability to compare with traditional optimization methods is stated (Sec. 4.2). Missing from the discussion are threats to validity of the evaluation, such as the manual evaluation, the small dataset and the single case, as well as statistical robustness and scalability beyond 15 elements.
[R2] Section 5 (Discussion) explicitly discusses limitations: the method relies on detailed equipment information and expert involvement; it struggles with unknown constraints or complex hard/soft constraint satisfaction without fine-tuning; and it notes that the current approach uses generalized LLM capabilities rather than downstream task adaptation. It also mentions the potential for Multi-Agent Systems as a future direction to handle complexity.</v>
      </c>
      <c r="EX4" s="12" t="str">
        <f aca="false">IF(Comparison!$N$96="Resolved",IF(Comparison!$L$96="","",Comparison!$L$96),"⚠ UNRESOLVED")</f>
        <v>Partially</v>
      </c>
      <c r="EY4" s="15" t="str">
        <f aca="false">IF(Comparison!$M$96="","[R1] "&amp;Comparison!$J$96&amp;CHAR(10)&amp;CHAR(10)&amp;"[R2] "&amp;Comparison!$K$96,Comparison!$M$96)</f>
        <v>[R1] Related work (Sec. 2) covers LLM spatial reasoning (3D-LLM, LayoutGPT, SpatialVLM), layout representations, and prompt engineering (CoT, ReAct, RAG). It identifies the gap: 'relatively little research on how to use large models to infer spatial and positional configurations through constraints'. Empirically, the paper compares only against CoT. It explicitly declines comparison with traditional optimization methods: 'generative methods are not directly comparable to traditional approaches.' Differentiation is therefore present but limited.
[R2] Section 2 reviews related work in spatial reasoning of LLMs, layout structured representation, and prompt engineering. It explicitly contrasts the proposed method with traditional SLP, heuristic algorithms (GA, PSO), and reinforcement learning approaches (Klar et al.). It also differentiates from existing LLM layout works (LayoutGPT, 3D-LLM) by focusing on industrial shopfloor constraints and structured JSON representation.</v>
      </c>
      <c r="EZ4" s="14" t="s">
        <v>231</v>
      </c>
      <c r="FA4" s="14" t="s">
        <v>351</v>
      </c>
      <c r="FB4" s="14" t="s">
        <v>232</v>
      </c>
      <c r="FC4" s="14" t="s">
        <v>231</v>
      </c>
      <c r="FD4" s="16" t="s">
        <v>467</v>
      </c>
      <c r="FE4" s="14" t="s">
        <v>231</v>
      </c>
      <c r="FF4" s="15" t="s">
        <v>2265</v>
      </c>
      <c r="FG4" s="14" t="s">
        <v>231</v>
      </c>
      <c r="FH4" s="14" t="s">
        <v>231</v>
      </c>
      <c r="FI4" s="12" t="str">
        <f aca="false">IF(Comparison!$N$97="Resolved",IF(Comparison!$L$97="","",Comparison!$L$97),"⚠ UNRESOLVED")</f>
        <v>NA</v>
      </c>
      <c r="FJ4" s="14" t="s">
        <v>2178</v>
      </c>
    </row>
    <row r="5" customFormat="false" ht="60" hidden="false" customHeight="true" outlineLevel="0" collapsed="false">
      <c r="A5" s="7" t="s">
        <v>2266</v>
      </c>
      <c r="B5" s="7" t="s">
        <v>2267</v>
      </c>
      <c r="C5" s="7" t="s">
        <v>2268</v>
      </c>
      <c r="D5" s="16" t="s">
        <v>2111</v>
      </c>
      <c r="E5" s="14"/>
      <c r="F5" s="14" t="s">
        <v>2268</v>
      </c>
      <c r="G5" s="14" t="s">
        <v>2267</v>
      </c>
      <c r="H5" s="14" t="s">
        <v>2269</v>
      </c>
      <c r="I5" s="12" t="str">
        <f aca="false">IF(Comparison!$N$98="Resolved",IF(Comparison!$L$98="","",Comparison!$L$98),"⚠ UNRESOLVED")</f>
        <v>School of Information Science and Technology, ShanghaiTech University, Shanghai, China; Advanced Institute of Information Technology (AIIT), Peking University, Hangzhou, China; School of Entrepreneurship and Management, ShanghaiTech University, Shanghai, China</v>
      </c>
      <c r="J5" s="14" t="s">
        <v>2232</v>
      </c>
      <c r="K5" s="14" t="s">
        <v>2115</v>
      </c>
      <c r="L5" s="14" t="s">
        <v>2270</v>
      </c>
      <c r="M5" s="14" t="s">
        <v>2271</v>
      </c>
      <c r="N5" s="14" t="s">
        <v>2118</v>
      </c>
      <c r="O5" s="12" t="str">
        <f aca="false">IF(Comparison!$N$99="Resolved",IF(Comparison!$L$99="","",Comparison!$L$99),"⚠ UNRESOLVED")</f>
        <v>National Natural Science Foundation of China (No. 62372298); National Key Research and Development Program of China (Grant 2022YFF0903302); Shanghai Engineering Research Center of Intelligent Vision and Imaging; Shanghai Frontiers Science Center of Human-centered Artificial Intelligence (ShangHAI); MoE Key Laboratory of Intelligent Perception and Human-Machine Collaboration (KLIP-HuMaCo)</v>
      </c>
      <c r="P5" s="12" t="str">
        <f aca="false">IF(Comparison!$N$100="Resolved",IF(Comparison!$L$100="","",Comparison!$L$100),"⚠ UNRESOLVED")</f>
        <v>This research was supported by the National Natural Science Foundation of China (No. 62372298), the National Key Research and Development Program of China under Grant 2022YFF0903302, the Shanghai Engineering Research Center of Intelligent Vision and Imaging, the Shanghai Frontiers Science Center of Human-centered Artificial Intelligence (ShangHAI), and the MoE Key Laboratory of Intelligent Perception and Human-Machine Collaboration (KLIP-HuMaCo).</v>
      </c>
      <c r="Q5" s="14" t="s">
        <v>231</v>
      </c>
      <c r="R5" s="14" t="s">
        <v>185</v>
      </c>
      <c r="S5" s="15" t="s">
        <v>2272</v>
      </c>
      <c r="T5" s="14" t="s">
        <v>2121</v>
      </c>
      <c r="U5" s="15" t="s">
        <v>2273</v>
      </c>
      <c r="V5" s="12" t="str">
        <f aca="false">IF(Comparison!$N$101="Resolved",IF(Comparison!$L$101="","",Comparison!$L$101),"⚠ UNRESOLVED")</f>
        <v>Manufacturing (paper products / paper packaging supply chain)</v>
      </c>
      <c r="W5" s="15" t="str">
        <f aca="false">IF(Comparison!$M$101="","[R1] "&amp;Comparison!$J$101&amp;CHAR(10)&amp;CHAR(10)&amp;"[R2] "&amp;Comparison!$K$101,Comparison!$M$101)</f>
        <v>[R1] Sec. 1 notes that partner selection matters "particularly within the manufacturing sector." The formative study experts are senior managers from manufacturing enterprises (Sec. 3.1). The dataset is "based on real-world data from the upstream and downstream paper packaging industry" (Sec. 5).
[R2] The paper explicitly states in Section 1 that the focus is on 'partner selection... particularly within the manufacturing sector'. The dataset used in Section 5 is described as being from the 'upstream and downstream paper packaging industry', which is a manufacturing domain. The usage scenario in Section 6 involves a 'senior manager at Company-4838' in the 'paper products sector'.</v>
      </c>
      <c r="X5" s="12" t="str">
        <f aca="false">IF(Comparison!$N$102="Resolved",IF(Comparison!$L$102="","",Comparison!$L$102),"⚠ UNRESOLVED")</f>
        <v>Supply chain partner selection in the paper products/paper packaging industry (35 anonymized firms, 8 quarters 2023-2024)</v>
      </c>
      <c r="Y5" s="15" t="str">
        <f aca="false">IF(Comparison!$M$102="","[R1] "&amp;Comparison!$J$102&amp;CHAR(10)&amp;CHAR(10)&amp;"[R2] "&amp;Comparison!$K$102,Comparison!$M$102)</f>
        <v>[R1] Sec. 5 describes the dataset: "35 anonymized firms observed over eight quarters from 2023 to 2024," built from public tendering/bidding data. The usage scenario (Sec. 6) concerns Company-4838 in the paper products sector diversifying its customers toward green packaging, with competitors 6174 and 7437.
[R2] The entire paper focuses on 'Supply Chain (SC)' partner selection. The abstract states: 'SCSimulator... for SC partner selection'. The case study in Section 6 and the user study in Section 7 both involve analyzing supply chain networks, supplier-customer relationships, and partner selection strategies within this domain.</v>
      </c>
      <c r="Z5" s="14" t="s">
        <v>264</v>
      </c>
      <c r="AA5" s="15" t="s">
        <v>2274</v>
      </c>
      <c r="AB5" s="14" t="s">
        <v>2275</v>
      </c>
      <c r="AC5" s="15" t="s">
        <v>2276</v>
      </c>
      <c r="AD5" s="14" t="s">
        <v>2277</v>
      </c>
      <c r="AE5" s="14"/>
      <c r="AF5" s="15" t="s">
        <v>2278</v>
      </c>
      <c r="AG5" s="14" t="s">
        <v>2279</v>
      </c>
      <c r="AH5" s="15" t="s">
        <v>2280</v>
      </c>
      <c r="AI5" s="14"/>
      <c r="AJ5" s="15" t="s">
        <v>2281</v>
      </c>
      <c r="AK5" s="14" t="s">
        <v>799</v>
      </c>
      <c r="AL5" s="15" t="s">
        <v>2282</v>
      </c>
      <c r="AM5" s="14" t="s">
        <v>264</v>
      </c>
      <c r="AN5" s="14" t="s">
        <v>220</v>
      </c>
      <c r="AO5" s="15" t="s">
        <v>2283</v>
      </c>
      <c r="AP5" s="14" t="s">
        <v>220</v>
      </c>
      <c r="AQ5" s="15" t="s">
        <v>2284</v>
      </c>
      <c r="AR5" s="14" t="s">
        <v>232</v>
      </c>
      <c r="AS5" s="15" t="s">
        <v>2285</v>
      </c>
      <c r="AT5" s="12" t="str">
        <f aca="false">IF(Comparison!$N$103="Resolved",IF(Comparison!$L$103="","",Comparison!$L$103),"⚠ UNRESOLVED")</f>
        <v>FALSE</v>
      </c>
      <c r="AU5" s="15" t="str">
        <f aca="false">IF(Comparison!$M$103="","[R1] "&amp;Comparison!$J$103&amp;CHAR(10)&amp;CHAR(10)&amp;"[R2] "&amp;Comparison!$K$103,Comparison!$M$103)</f>
        <v>[R1] No statement found in which the authors frame the decision as configuring or designing the supply chain system. They describe simulating the 'evolution of SCs' and 'adaptive network structures'. Sec. 8.3 mentions 'edge formation and deletion in social networks', but this is an analogy rather than a design framing.
[R2] The authors explicitly discuss 'SC evolution via adaptive network structures' and 'restructuring their SC relationships'. In Section 4.1.2, they describe agents 'formalizing partner decisions' and 'issuing termination Requests'. This is framed as configuring the network structure.</v>
      </c>
      <c r="AV5" s="12" t="str">
        <f aca="false">IF(Comparison!$N$104="Resolved",IF(Comparison!$L$104="","",Comparison!$L$104),"⚠ UNRESOLVED")</f>
        <v>Which supplier and customer relationships (supply chain network links) a focal firm initiates, maintains, or terminates, as simulated via LLM agents' plan/query/request/reply cycles.</v>
      </c>
      <c r="AW5" s="14" t="s">
        <v>467</v>
      </c>
      <c r="AX5" s="15" t="s">
        <v>2286</v>
      </c>
      <c r="AY5" s="15" t="s">
        <v>2287</v>
      </c>
      <c r="AZ5" s="14"/>
      <c r="BA5" s="12" t="str">
        <f aca="false">IF(Comparison!$N$105="Resolved",IF(Comparison!$L$105="","",Comparison!$L$105),"⚠ UNRESOLVED")</f>
        <v>SCSimulator is an exploratory visual analytics framework for supply chain partner selection. Each firm is modeled as an autonomous LLM agent in a multi-agent simulation that follows a four-stage request-response cycle per time step: Stage I Plan (the agent analyzes its SC network, features and global/firm-specific Knowledge to produce Plans with Reasons), Stage II Query (it translates Plans into industry constraints and weighted feature scores used by predefined query functions to rank Candidates), Stage III Request (it selects candidates and writes persuasive collaboration or termination requests), and Stage IV Reply (it accepts or declines incoming requests with reasons). Inputs are firm features, SC network links and user-editable Knowledge. Outputs are evolving supplier-customer networks plus textual CoT rationales. Non-LLM models complement the agents: per-firm regression explain models with Variational Graph Autoencoder embeddings, SHAP attribution, and a Horizon Extend forecasting model. Users intervene through an Adjustment View that lets them edit Knowledge, plans and candidates, and they can trace and branch simulation paths. A separate conversational LLM agent on the Upload Page helps map raw data into templates. The system supports what-if exploration rather than deterministic prediction.</v>
      </c>
      <c r="BB5" s="12" t="str">
        <f aca="false">IF(Comparison!$N$106="Resolved",IF(Comparison!$L$106="","",Comparison!$L$106),"⚠ UNRESOLVED")</f>
        <v>GPT-4o; Gemini-2.5-flash; Qwen3-VL-Flash</v>
      </c>
      <c r="BC5" s="15" t="str">
        <f aca="false">IF(Comparison!$M$106="","[R1] "&amp;Comparison!$J$106&amp;CHAR(10)&amp;CHAR(10)&amp;"[R2] "&amp;Comparison!$K$106,Comparison!$M$106)</f>
        <v>[R1] Table 1 (Sec. 5.1) evaluates the LLM-driven agent simulation with ChatGPT-4o, Gemini-2.5-flash and Qwen3-VL-Flash. ChatGPT-4o was selected as the default backbone and is used in the usage scenario (Sec. 6.2). Figure 1 shows 'GPT4o-mini' in a dropdown, but this model is not evaluated, so it is not listed. Section 10 states that ChatGPT and Gemini were used for manuscript editing and GitHub Copilot for coding; these uses fall outside the method. Nano Banana was used to generate a figure. Related-work systems (Smallville, InvAgent, AgentLens) are cited only.
[R2] Section 5.1 (Table 1) explicitly lists these three models as the ones evaluated in the quantitative simulation experiments. The text states: 'Performance differences across the three LLMs are limited... ChatGPT-4o shows a small but consistent advantage... and is therefore selected as the default backbone model'. Section 6.2 also mentions configuring 'ChatGPT-4o as the LLM agent'.</v>
      </c>
      <c r="BD5" s="12" t="str">
        <f aca="false">IF(Comparison!$N$107="Resolved",IF(Comparison!$L$107="","",Comparison!$L$107),"⚠ UNRESOLVED")</f>
        <v>All three LLMs serve as the backbone for the company agents in the technical evaluation. ChatGPT-4o was chosen as the default for subsequent experiments and the usage scenario. The model behind the Upload Page conversational agent is not specified.</v>
      </c>
      <c r="BE5" s="14" t="s">
        <v>2288</v>
      </c>
      <c r="BF5" s="15" t="s">
        <v>2289</v>
      </c>
      <c r="BG5" s="14"/>
      <c r="BH5" s="12" t="str">
        <f aca="false">IF(Comparison!$N$108="Resolved",IF(Comparison!$L$108="","",Comparison!$L$108),"⚠ UNRESOLVED")</f>
        <v>N</v>
      </c>
      <c r="BI5" s="15" t="str">
        <f aca="false">IF(Comparison!$M$108="","[R1] "&amp;Comparison!$J$108&amp;CHAR(10)&amp;CHAR(10)&amp;"[R2] "&amp;Comparison!$K$108,Comparison!$M$108)</f>
        <v>[R1] GPT-4o and Gemini-2.5-flash are proprietary. Qwen3-VL-Flash appears to be a hosted Alibaba API model, and Sec. 8.4.2 refers to API-based LLM access. Uncertain ('?'): Qwen3 has open-weight variants, but the 'Flash' tier is API-only.
[R2] ChatGPT-4o and Gemini-2.5-flash are proprietary models (N). Qwen3-VL-Flash is part of the Qwen family, which typically includes open-weight models (Y), although the specific 'Flash' variant's weight availability can vary, the Qwen family is generally classified as open-weight in this context compared to the proprietary GPT/Gemini. Thus, the system uses a mix.</v>
      </c>
      <c r="BJ5" s="14" t="s">
        <v>264</v>
      </c>
      <c r="BK5" s="14" t="s">
        <v>2140</v>
      </c>
      <c r="BL5" s="15" t="s">
        <v>2290</v>
      </c>
      <c r="BM5" s="14" t="s">
        <v>2142</v>
      </c>
      <c r="BN5" s="15" t="s">
        <v>2291</v>
      </c>
      <c r="BO5" s="14" t="s">
        <v>467</v>
      </c>
      <c r="BP5" s="15" t="s">
        <v>2292</v>
      </c>
      <c r="BQ5" s="14"/>
      <c r="BR5" s="14"/>
      <c r="BS5" s="12" t="str">
        <f aca="false">IF(Comparison!$N$109="Resolved",IF(Comparison!$L$109="","",Comparison!$L$109),"⚠ UNRESOLVED")</f>
        <v>zero-shot; CoT; structured-output; other</v>
      </c>
      <c r="BT5" s="15" t="str">
        <f aca="false">IF(Comparison!$M$109="","[R1] "&amp;Comparison!$J$109&amp;CHAR(10)&amp;CHAR(10)&amp;"[R2] "&amp;Comparison!$K$109,Comparison!$M$109)</f>
        <v>[R1] The Appendix A prompts give instructions without examples (zero-shot) and ask for 'step-by-step thinking' (CoT, also stated in Sec. 4.1.3). They require 'strict JSON format' output (structured-output) and use role/persona prompting such as 'You are company {id}' and 'You are now an company manager'.
[R2] Section 4.1.2 and Appendix A show prompts that request 'step-by-step thinking' (CoT) and strictly enforce 'strict JSON format' for outputs (structured-output). The prompts include role-playing instructions ('You are company...') which is a form of zero-shot/role prompting, but CoT and structured output are the most distinct technical features highlighted.</v>
      </c>
      <c r="BU5" s="12" t="str">
        <f aca="false">IF(Comparison!$N$110="Resolved",IF(Comparison!$L$110="","",Comparison!$L$110),"⚠ UNRESOLVED")</f>
        <v>Role/persona prompting (each agent prompted as a specific company/manager with company-specific knowledge).</v>
      </c>
      <c r="BV5" s="14" t="s">
        <v>2293</v>
      </c>
      <c r="BW5" s="15" t="s">
        <v>2294</v>
      </c>
      <c r="BX5" s="12" t="str">
        <f aca="false">IF(Comparison!$N$111="Resolved",IF(Comparison!$L$111="","",Comparison!$L$111),"⚠ UNRESOLVED")</f>
        <v>prompt-chaining; parallelization</v>
      </c>
      <c r="BY5" s="15" t="str">
        <f aca="false">IF(Comparison!$M$111="","[R1] "&amp;Comparison!$J$111&amp;CHAR(10)&amp;CHAR(10)&amp;"[R2] "&amp;Comparison!$K$111,Comparison!$M$111)</f>
        <v>[R1] Within each agent, the Plan, Query, Request and Reply stages form a fixed chain in which each stage uses the previous stage's output (Appendix A prompts embed prior plans and queries). Figure 2 shows all agents executing the pipeline independently and in parallel, with results aggregated into the network state.
[R2] Within each agent's turn, the process is a fixed sequence of four stages: Plan -&gt; Query -&gt; Request -&gt; Reply (Section 4.1.2). Each stage's output feeds into the next or is used to generate the next prompt. This is a fixed, developer-defined sequence of LLM calls, fitting the 'prompt-chaining' pattern. While the overall system is multi-agent, the internal workflow of each agent is a chain.</v>
      </c>
      <c r="BZ5" s="14" t="s">
        <v>2206</v>
      </c>
      <c r="CA5" s="14" t="s">
        <v>232</v>
      </c>
      <c r="CB5" s="14" t="s">
        <v>231</v>
      </c>
      <c r="CC5" s="15" t="s">
        <v>2295</v>
      </c>
      <c r="CD5" s="12" t="str">
        <f aca="false">IF(Comparison!$N$112="Resolved",IF(Comparison!$L$112="","",Comparison!$L$112),"⚠ UNRESOLVED")</f>
        <v>ML-model</v>
      </c>
      <c r="CE5" s="15" t="str">
        <f aca="false">IF(Comparison!$M$112="","[R1] "&amp;Comparison!$J$112&amp;CHAR(10)&amp;CHAR(10)&amp;"[R2] "&amp;Comparison!$K$112,Comparison!$M$112)</f>
        <v>[R1] ML-model: regression explain models (Linear, Lasso, RF, Gradient Boosting) with VGAE embeddings, SHAP, and the Horizon Extend forecasting model (Sec. 4.1.3–4.1.4). database-SQL ('?'): predefined query functions retrieve and rank companies from the firm dataset using the LLM-generated industry constraints and weights (Stage II). The paper does not state that SQL is used, so this is the closest category. RAG is mentioned only as future work.
[R2] The paper explicitly describes integrating predictive ML models (Random Forest, etc.) and SHAP for explanation (Section 4.1.3) and a simulation module for MAS (Section 4.1.2). These are external non-LLM components that the LLM system interacts with or relies upon for the overall framework functionality.</v>
      </c>
      <c r="CF5" s="14" t="s">
        <v>232</v>
      </c>
      <c r="CG5" s="15" t="s">
        <v>2296</v>
      </c>
      <c r="CH5" s="12" t="str">
        <f aca="false">IF(Comparison!$N$113="Resolved",IF(Comparison!$L$113="","",Comparison!$L$113),"⚠ UNRESOLVED")</f>
        <v>medium</v>
      </c>
      <c r="CI5" s="15" t="str">
        <f aca="false">IF(Comparison!$M$113="","[R1] "&amp;Comparison!$J$113&amp;CHAR(10)&amp;CHAR(10)&amp;"[R2] "&amp;Comparison!$K$113,Comparison!$M$113)</f>
        <v>[R1] The only optimization-like step is a weighted-sum scoring of candidate firms under an industry filter. The weights and constraints are produced ad hoc by the LLM per plan (Listing 3). The paper gives no formal model with decision variables, an objective function or constraints. Final partner choice and acceptance are made by LLM reasoning, not by solving a model. This could arguably be coded 'medium', since the weighted score and industry filter are explicit (?), but given how lightweight and informal the step is, 'low' was chosen.
[R2] The method uses explicit criteria (features like Technology, Operation, Reputation) and weights to score and rank candidates (MCDM). It also uses regression models (Lasso, Random Forest, etc.) for prediction and SHAP for explanation. However, it does not formulate a single global mathematical optimization program (like MILP) with hard constraints and a single objective function to be solved by a solver. Instead, it uses heuristic scoring and simulation-based evaluation. This fits the 'medium' level: explicit objective/criteria, solved by approximate search or scoring (MCDM/simulation).</v>
      </c>
      <c r="CJ5" s="12" t="str">
        <f aca="false">IF(Comparison!$N$114="Resolved",IF(Comparison!$L$114="","",Comparison!$L$114),"⚠ UNRESOLVED")</f>
        <v>MCDM</v>
      </c>
      <c r="CK5" s="15" t="str">
        <f aca="false">IF(Comparison!$M$114="","[R1] "&amp;Comparison!$J$114&amp;CHAR(10)&amp;CHAR(10)&amp;"[R2] "&amp;Comparison!$K$114,Comparison!$M$114)</f>
        <v>[R1] Stage II ranks candidates by weighted aggregation of features (Technology, Operation, Reputation, performance metric) subject to industry constraints. This is a simple weighted-sum MCDM scoring, consistent with the paper's description of MCDM as 'weighted aggregation models that combine criteria into composite scores for partner ranking' (Sec. 2.1). The game-theoretic aspect is realized through LLM agent interaction, not through a formal GT model.
[R2] The core decision-making mechanism is MCDM, as agents use weighted criteria to select partners (Section 4.1.2). The overall framework is a simulation-based approach where the 'optimization' or decision quality is evaluated through multi-agent simulation and predictive modeling (Section 4.1.3, 5.1). The paper explicitly mentions integrating MCDM and Game Theory, and using simulation to explore outcomes.</v>
      </c>
      <c r="CL5" s="14"/>
      <c r="CM5" s="12" t="str">
        <f aca="false">IF(Comparison!$N$115="Resolved",IF(Comparison!$L$115="","",Comparison!$L$115),"⚠ UNRESOLVED")</f>
        <v>formulator; result-interpreter; heuristic-designer</v>
      </c>
      <c r="CN5" s="15" t="str">
        <f aca="false">IF(Comparison!$M$115="","[R1] "&amp;Comparison!$J$115&amp;CHAR(10)&amp;CHAR(10)&amp;"[R2] "&amp;Comparison!$K$115,Comparison!$M$115)</f>
        <v>[R1] In Stage II the LLM translates natural-language Plans into ranking criteria: an industry constraint set and feature weights in JSON. A predefined query function then executes these to rank candidates (Sec. 4.1.2, Listing 3). This most closely matches the 'formulator' role, though only for a simple scoring model (?). The LLM then selects among the ranked candidates in Stage III, but this is LLM reasoning, not iterative solution improvement.
[R2] The LLM acts as a 'heuristic-designer' in the sense that it generates the decision logic (Plans, Requests, Replies) and the specific actions (which partners to seek/terminate) based on the context, effectively designing the heuristic behavior of the agent for each step. It also acts as a 'result-interpreter' by providing Chain-of-Thought (CoT) explanations for its decisions (Section 4.1.3, 8.2.1). It does not formulate a mathematical model or call a solver directly; it generates the decisions themselves.</v>
      </c>
      <c r="CO5" s="14" t="s">
        <v>264</v>
      </c>
      <c r="CP5" s="15" t="s">
        <v>2297</v>
      </c>
      <c r="CQ5" s="12" t="str">
        <f aca="false">IF(Comparison!$N$116="Resolved",IF(Comparison!$L$116="","",Comparison!$L$116),"⚠ UNRESOLVED")</f>
        <v>The system models partner selection as a multi-agent simulation where each agent (company) uses an LLM to generate strategic plans. It employs an MCDM-like process where agents define weighted criteria (features) to rank potential partners. The 'optimization' is the selection of the best partner based on these weighted scores and strategic alignment, evaluated through simulation outcomes and predictive performance metrics (PageRank, etc.).</v>
      </c>
      <c r="CR5" s="12" t="str">
        <f aca="false">IF(Comparison!$N$117="Resolved",IF(Comparison!$L$117="","",Comparison!$L$117),"⚠ UNRESOLVED")</f>
        <v>test-set; single-case; user-study</v>
      </c>
      <c r="CS5" s="15" t="str">
        <f aca="false">IF(Comparison!$M$117="","[R1] "&amp;Comparison!$J$117&amp;CHAR(10)&amp;CHAR(10)&amp;"[R2] "&amp;Comparison!$K$117,Comparison!$M$117)</f>
        <v>[R1] Three evaluation settings are used. (1) Technical evaluation (§5.1): simulated network evolution is compared against observed historical network data. The paper reports 80 independent runs on 4 key nodes, scored with ACC, Precision, Recall, F1, Gwet's AC1 and CR. This is coded as test-set. Also in §5, ten management master's students configured knowledge, reviewed simulation rounds and rated agent behavior on Likert scales (§5.2). (2) Usage scenario (§6): an illustrative case of Company 4838 in the paper products sector, based on sessions by P1 and P7, is coded as single-case. (3) User study (§7): 12 participants completed think-aloud tasks and a questionnaire (NASA-TLX, usability, effectiveness), coded as user-study. Comparing three LLM backbones is not a controlled comparison of conditions with the method versus without it, so quasi-experimental is not coded.
[R2] The paper reports a 'Technical Evaluation' (Section 5) which includes a quantitative evaluation against observed data (test-set) and an expert-based subjective evaluation. It also reports a 'User Study' (Section 7) with 12 participants performing tasks. The usage scenario (Section 6) is illustrative and not a formal study design type in the schema, but the underlying data is part of the test-set evaluation.</v>
      </c>
      <c r="CT5" s="12" t="str">
        <f aca="false">IF(Comparison!$N$118="Resolved",IF(Comparison!$L$118="","",Comparison!$L$118),"⚠ UNRESOLVED")</f>
        <v>artificial</v>
      </c>
      <c r="CU5" s="15" t="str">
        <f aca="false">IF(Comparison!$M$118="","[R1] "&amp;Comparison!$J$118&amp;CHAR(10)&amp;CHAR(10)&amp;"[R2] "&amp;Comparison!$K$118,Comparison!$M$118)</f>
        <v>[R1] All episodes are artificial. The technical evaluation uses a constructed historical test set. The expert evaluation and the user study are lab-based task sessions. The usage scenario is illustrative, with modifications. Although the data come from real public sources, there is no deployment in a real organisation. The authors acknowledge 'short-term, laboratory-based settings' (§8.4.1).
[R2] The quantitative evaluation (Section 5.1) is artificial, using a constructed dataset and comparing simulation outputs to observed historical data. The user study (Section 7) and expert evaluation (Section 5.2) involve human participants interacting with the system, which fits the naturalistic paradigm (real users, real problem context, though in a lab setting). The paper explicitly states the user study was conducted in 'short-term, laboratory-based settings' (Section 8.4.1), which aligns with the 'artificial' definition in the schema description for lab settings, but the involvement of real users for usability/effectiveness testing often leans towards naturalistic in broader HCI contexts. However, strictly following the schema definition: 'Artificial = lab, simulation...; naturalistic = real users, real problem, real organisation/system'. The user study is in a lab, so it is artificial. The quantitative eval is simulation/test-set, so it is artificial. Wait, the schema says 'naturalistic = real users, real problem, real organisation/system'. The user study uses 'real users' (students/managers) but in a 'lab' setting. The prompt definition for 'artificial' includes 'lab'. The prompt definition for 'naturalistic' includes 'real users'. This is a conflict. Let's look at the examples. Usually, lab user studies are considered artificial in strict DS research terms if they are not in the field. However, the schema definition for 'naturalistic' is 'real users, real problem, real organisation/system'. The user study participants are 'master's students' and 'managers' (Section 5.2, 7.1). They are real users. The problem is 'partner selection', a real problem. But the setting is a lab. Let's look at 'artificial': 'lab, simulation, test set, illustrative or invented case'. The user study is a lab study. The quantitative eval is a simulation/test set. Therefore, both are artificial. Let's re-read the schema definition carefully. 'Artificial = lab, simulation, test set, illustrative or invented case; naturalistic = real users, real problem, real organisation/system.' The user study is a lab study. So it is artificial. The quantitative eval is a simulation. So it is artificial. Thus, 'artificial' is the correct choice. Why did I think 'both'? Because 'real users' are involved. But the 'lab' qualifier in 'artificial' seems to take precedence for the setting. Let's check if there is any field deployment. No. So 'artificial' is the most accurate based on the 'lab' and 'simulation' components. However, often 'user study' implies a naturalistic element of human interaction. But the schema explicitly lists 'lab' under artificial. I will stick with 'artificial' as the primary paradigm because the core evaluation is simulation-based and the user study is lab-based. Wait, looking at the definition again: 'naturalistic = real users, real problem, real organisation/system'. The user study uses real users (students/managers) and a real problem (SC partner selection). Even if in a lab, the *nature* of the evaluation involves real humans solving a real problem. But the *setting* is lab. The schema definition for 'artificial' includes 'lab'. This suggests that any lab-based evaluation is artificial. I will select 'artificial'.</v>
      </c>
      <c r="CV5" s="12" t="str">
        <f aca="false">IF(Comparison!$N$119="Resolved",IF(Comparison!$L$119="","",Comparison!$L$119),"⚠ UNRESOLVED")</f>
        <v>Author-constructed paper packaging supply chain dataset: 35 anonymized firms observed over eight quarters (2023-2024). Network edges come from tendering/bidding relationships and node attributes from firm profiles (public sources cebpubservice.cn, gsxt.gov.cn). Temporal attributes were scored by experts on Operation, Technology and Reputation (0-100).</v>
      </c>
      <c r="CW5" s="15" t="str">
        <f aca="false">IF(Comparison!$M$119="","[R1] "&amp;Comparison!$J$119&amp;CHAR(10)&amp;CHAR(10)&amp;"[R2] "&amp;Comparison!$K$119,Comparison!$M$119)</f>
        <v>[R1] §5 describes the dataset construction with domain experts. §7.2 states the same dataset was reused for the user study. §8.4.1 notes it is a relatively small, domain-specific dataset.
[R2] Section 5 states: 'The final dataset comprises 35 anonymized firms observed over eight quarters from 2023 to 2024.' It was constructed in collaboration with domain experts based on real-world data from public sources.</v>
      </c>
      <c r="CX5" s="14" t="s">
        <v>467</v>
      </c>
      <c r="CY5" s="15" t="s">
        <v>2298</v>
      </c>
      <c r="CZ5" s="12" t="n">
        <f aca="false">IF(Comparison!$N$120="Resolved",IF(Comparison!$L$120="","",Comparison!$L$120),"⚠ UNRESOLVED")</f>
        <v>29</v>
      </c>
      <c r="DA5" s="15" t="str">
        <f aca="false">IF(Comparison!$M$120="","[R1] "&amp;Comparison!$J$120&amp;CHAR(10)&amp;CHAR(10)&amp;"[R2] "&amp;Comparison!$K$120,Comparison!$M$120)</f>
        <v>[R1] Values are taken from Table 1 (§5.1), Table 2 (§5.2) and Table 5 (§7.3). Table 5 contains an apparently malformed extra row in the Usability section; Q11 is recorded as 4.17/0.41 for both groups. MSE and runtime values shown in figure box plots for the regression models were not included because they are figure transcriptions of uncertain legibility.
[R2] Metrics are extracted from Table 1 (Quantitative Evaluation), Table 2 (Expert Evaluation), and Table 5 (User Study Feedback). The paper reports performance metrics for the simulation against ground truth, expert ratings for agent behavior, and user study ratings for usability and effectiveness.</v>
      </c>
      <c r="DB5" s="14" t="s">
        <v>799</v>
      </c>
      <c r="DC5" s="15" t="s">
        <v>2299</v>
      </c>
      <c r="DD5" s="12" t="str">
        <f aca="false">IF(Comparison!$N$121="Resolved",IF(Comparison!$L$121="","",Comparison!$L$121),"⚠ UNRESOLVED")</f>
        <v>Technical evaluation: 80 runs on 4 focal nodes (35-firm dataset). Expert evaluation: 10 evaluators x 5 simulation rounds each. User study: 12 participants (6 Research, 6 Enterprise).</v>
      </c>
      <c r="DE5" s="15" t="str">
        <f aca="false">IF(Comparison!$M$121="","[R1] "&amp;Comparison!$J$121&amp;CHAR(10)&amp;CHAR(10)&amp;"[R2] "&amp;Comparison!$K$121,Comparison!$M$121)</f>
        <v>[R1] Sources: §5.1, §5.2 and §7.1 (Table 3).
[R2] Section 7.1 states '12 new participants (P1-P12)'. Section 5.2 states 'ten master's students'. Section 5 states '35 anonymized firms'.</v>
      </c>
      <c r="DF5" s="12" t="str">
        <f aca="false">IF(Comparison!$N$122="Resolved",IF(Comparison!$L$122="","",Comparison!$L$122),"⚠ UNRESOLVED")</f>
        <v>80 runs in total across 4 focal nodes; per-node split not reported</v>
      </c>
      <c r="DG5" s="14" t="s">
        <v>231</v>
      </c>
      <c r="DH5" s="16" t="s">
        <v>2218</v>
      </c>
      <c r="DI5" s="14" t="s">
        <v>231</v>
      </c>
      <c r="DJ5" s="15" t="s">
        <v>2300</v>
      </c>
      <c r="DK5" s="12" t="str">
        <f aca="false">IF(Comparison!$N$123="Resolved",IF(Comparison!$L$123="","",Comparison!$L$123),"⚠ UNRESOLVED")</f>
        <v>Evaluation was short-term and laboratory-based, so long-term effects of SC decisions could not be captured.; No direct comparison with baseline systems was performed, due to a lack of suitable baselines.; The study relied on a small, domain-specific dataset (paper products sector), limiting generalizability.; The system supports only about 30-50 agents due to API-based LLM performance constraints. This scale is insufficient for rigorous quantitative validation, and agent behavioral controllability may degrade at larger scales.; The MAS supports only basic commercial interaction models (e.g., no bidding or fine-grained negotiation). Agents may act beyond realistic boundaries, e.g., cost-free deception or unfulfillable promises.; Persona-based prompts may lack specialized SC expertise. The framework is exploratory, not predictive, and achieves only moderate predictive alignment.; The system is not intended for deterministic prediction but for exploring plausible decision trajectories.; The current implementation operates with 30 to 50 agents, which is insufficient for rigorous quantitative validation and large-scale MAS.; The study was conducted in short-term, laboratory-based settings, and no direct comparisons with baseline systems were included.</v>
      </c>
      <c r="DL5" s="15" t="str">
        <f aca="false">IF(Comparison!$M$123="","[R1] "&amp;Comparison!$J$123&amp;CHAR(10)&amp;CHAR(10)&amp;"[R2] "&amp;Comparison!$K$123,Comparison!$M$123)</f>
        <v>[R1] Drawn from §8.4.1, §8.4.2, §8.1.2, §8.2.3, §7.3.3 and §5.1.
[R2] Section 5.1: 'the framework is not intended for deterministic prediction'. Section 8.1.2: 'this scale is insufficient for rigorous quantitative validation'. Section 8.4.1: 'conducted in short-term, laboratory-based settings... we did not include direct comparisons with baseline systems'.</v>
      </c>
      <c r="DM5" s="12" t="str">
        <f aca="false">IF(Comparison!$N$124="Resolved",IF(Comparison!$L$124="","",Comparison!$L$124),"⚠ UNRESOLVED")</f>
        <v>The LLM-driven MAS achieved moderate alignment with observed network evolution (best: ChatGPT-4o, ACC 72.43%, F1 63.11%) and high decision consistency (Gwet's AC1 81-98%). ChatGPT-4o was selected as the default backbone. Expert raters judged agent plans, responses and knowledge adherence as reasonable (means 4.3-4.7), but candidate selection was rated lower (3.7). Agents acted conservatively without expert knowledge and sometimes overreacted with it. The usage scenario illustrated how a radical strategy led to performance decline while a gradual strategy secured new partners, using SHAP alongside CoT explanations. In the 12-participant user study, ratings were positive for workload, usability and effectiveness. Learnability was low (Q9 ~1.3-1.7), and the Focus View required facilitator guidance. Participants valued the combination of SHAP-based quantitative anchors with CoT reasoning.</v>
      </c>
      <c r="DN5" s="14"/>
      <c r="DO5" s="14"/>
      <c r="DP5" s="14"/>
      <c r="DQ5" s="14" t="s">
        <v>232</v>
      </c>
      <c r="DR5" s="15" t="s">
        <v>2301</v>
      </c>
      <c r="DS5" s="14" t="s">
        <v>2302</v>
      </c>
      <c r="DT5" s="15" t="s">
        <v>2303</v>
      </c>
      <c r="DU5" s="12" t="str">
        <f aca="false">IF(Comparison!$N$125="Resolved",IF(Comparison!$L$125="","",Comparison!$L$125),"⚠ UNRESOLVED")</f>
        <v>Users map raw data to templates with a conversational LLM agent and review or modify the mappings. They configure models and parameters in the Control Panel and edit global or firm-specific Knowledge that steers agents. After each simulation run, they inspect results in the Global and Focus Views (SHAP plus CoT explanations). In the Adjustment View they modify individual agents' plans, candidates and request outcomes at selected timestamps. Confirmed changes create new branches recorded in the Simulation Path View, which supports exploration of alternative trajectories and export of logs.</v>
      </c>
      <c r="DV5" s="14"/>
      <c r="DW5" s="14" t="s">
        <v>232</v>
      </c>
      <c r="DX5" s="15" t="s">
        <v>2304</v>
      </c>
      <c r="DY5" s="12" t="str">
        <f aca="false">IF(Comparison!$N$126="Resolved",IF(Comparison!$L$126="","",Comparison!$L$126),"⚠ UNRESOLVED")</f>
        <v>structured-schema; relational-database</v>
      </c>
      <c r="DZ5" s="15" t="str">
        <f aca="false">IF(Comparison!$M$126="","[R1] "&amp;Comparison!$J$126&amp;CHAR(10)&amp;CHAR(10)&amp;"[R2] "&amp;Comparison!$K$126,Comparison!$M$126)</f>
        <v>[R1] The supply-chain data template (supplier/customer network edges, temporal and non-temporal firm features) and the JSON output schemas used by the query functions form a non-graph schema for domain entities and constraints (Sec 4.1.1, Sec 4.2.1, Appendix A). The four-stage request-response cycle could arguably be read as a simulation blueprint, but it is not coded as code-template here.
[R2] 1. Structured-schema: The system maps raw data to 'structured templates' (Section 4.2.1) and uses strict JSON formats for agent interactions (Appendix A). The 'Knowledge' is defined as a specific component of the firm profile (Section 4.1.1). 2. Relational-database: The dataset comprises 'SC network structure and firm-level attributes' (Section 5), with firms as nodes and relationships as edges, stored in a way that supports querying and ranking (Section 4.1.2, Stage II).</v>
      </c>
      <c r="EA5" s="12" t="str">
        <f aca="false">IF(Comparison!$N$127="Resolved",IF(Comparison!$L$127="","",Comparison!$L$127),"⚠ UNRESOLVED")</f>
        <v>Domain knowledge is formalized into a tri-dimensional model: Network (temporal supplier-customer links), Feature (non-temporal and temporal attributes like industry, patents), and Knowledge (global and firm-specific strategic context). This is stored in a structured format that allows LLM agents to query and reason over it. The system also uses a 'Knowledge' panel where users can edit these representations directly.</v>
      </c>
      <c r="EB5" s="14"/>
      <c r="EC5" s="14" t="s">
        <v>232</v>
      </c>
      <c r="ED5" s="15" t="s">
        <v>2305</v>
      </c>
      <c r="EE5" s="12" t="str">
        <f aca="false">IF(Comparison!$N$128="Resolved",IF(Comparison!$L$128="","",Comparison!$L$128),"⚠ UNRESOLVED")</f>
        <v>custom-test-set; rubric</v>
      </c>
      <c r="EF5" s="15" t="str">
        <f aca="false">IF(Comparison!$M$128="","[R1] "&amp;Comparison!$J$128&amp;CHAR(10)&amp;CHAR(10)&amp;"[R2] "&amp;Comparison!$K$128,Comparison!$M$128)</f>
        <v>[R1] custom-test-set: the authors constructed a paper-packaging SC dataset (35 firms, 8 quarters) with domain experts (Sec 5). rubric: 5-point Likert ratings appear in both the expert evaluation (Table 2) and the user study (Table 5). The ground truth is the historically observed network rather than expert decisions, so expert-ground-truth is not coded. The metrics (accuracy, F1, Gwet's AC1) are generic, not domain-specific.
[R2] 1. Custom-test-set: A specific SC dataset of 35 firms over 8 quarters was constructed for evaluation (Section 5). 2. Expert-ground-truth: Simulation outcomes were evaluated against 'observed network' (Section 5.1) and 'expert-based subjective evaluations' (Section 5.2). 3. Rubric: Likert scales (5-point) were used for subjective evaluation (Section 5.2) and user study feedback (Section 7.3).</v>
      </c>
      <c r="EG5" s="12" t="str">
        <f aca="false">IF(Comparison!$N$129="Resolved",IF(Comparison!$L$129="","",Comparison!$L$129),"⚠ UNRESOLVED")</f>
        <v>Quantitative evaluation: 80 runs on 4 focal firms with no user intervention, using ChatGPT-4o, Gemini-2.5-flash and Qwen3-VL-Flash. Predicted partner links were compared with observed next-quarter links (ACC 72.43% and F1 63.11% for ChatGPT), and decision consistency was measured via Gwet's AC1 and CR levels. Expert evaluation: 10 management master's students each ran five simulation rounds and rated plan reasonableness, candidate selection, responses and knowledge adherence on 5-point Likert scales. User study: 12 participants in Research and Enterprise groups completed an 80-min think-aloud task, followed by NASA-TLX, usability (Q7–Q12), effectiveness (Q13–Q17) and open-ended questions.</v>
      </c>
      <c r="EH5" s="14"/>
      <c r="EI5" s="14"/>
      <c r="EJ5" s="14"/>
      <c r="EK5" s="14"/>
      <c r="EL5" s="14"/>
      <c r="EM5" s="14"/>
      <c r="EN5" s="12" t="str">
        <f aca="false">IF(Comparison!$N$130="Resolved",IF(Comparison!$L$130="","",Comparison!$L$130),"⚠ UNRESOLVED")</f>
        <v>information-acquisition; information-analysis; decision-selection</v>
      </c>
      <c r="EO5" s="15" t="str">
        <f aca="false">IF(Comparison!$M$130="","[R1] "&amp;Comparison!$J$130&amp;CHAR(10)&amp;CHAR(10)&amp;"[R2] "&amp;Comparison!$K$130,Comparison!$M$130)</f>
        <v>[R1] information-acquisition: an LLM agent maps raw data to structured templates (Sec 4.2.1), and query functions retrieve and rank candidates (Stage II). information-analysis: agents analyze their SC and Knowledge to formulate Plans with reasons (Stage I), while explain models with SHAP quantify impacts (Sec 4.1.3). decision-selection: agents select partners and accept or decline requests (Stages III–IV). Action implementation exists only within the simulated network, not in a real plan or system, so it is not coded.
[R2] 1. Information-analysis: Agents 'analyze its existing SC structure' and 'formulate a set of Plans' (Section 4.1.2, Stage I). They also 'identify potential partners' and 'rank a list of companies' (Section 4.1.2, Stage II). 2. Decision-selection: Agents 'select suitable companies as collaboration targets' (Section 4.1.2, Stage III) and 'assess the received proposals... either accepts or declines' (Section 4.1.2, Stage IV). The system does not implement the action in the real world (no action-implementation) and relies on user input for initial data (no full information-acquisition automation, though it maps data).</v>
      </c>
      <c r="EP5" s="14" t="s">
        <v>2262</v>
      </c>
      <c r="EQ5" s="15" t="s">
        <v>2306</v>
      </c>
      <c r="ER5" s="12" t="str">
        <f aca="false">IF(Comparison!$N$131="Resolved",IF(Comparison!$L$131="","",Comparison!$L$131),"⚠ UNRESOLVED")</f>
        <v>Partially</v>
      </c>
      <c r="ES5" s="15" t="str">
        <f aca="false">IF(Comparison!$M$131="","[R1] "&amp;Comparison!$J$131&amp;CHAR(10)&amp;CHAR(10)&amp;"[R2] "&amp;Comparison!$K$131,Comparison!$M$131)</f>
        <v>[R1] The four-stage LLM MAS pipeline (Plan, Query, Request, Reply) is described in detail in §4.1.2, and the full prompt templates are given in Appendix A. The explain model is specified (VGAE embeddings plus Linear/Lasso/RF/GB regressors with SHAP, §4.1.3), as is the Horizon Extend Model (§4.1.4). Replication is still limited by several gaps: the 'predefined query functions' are not specified, VGAE hyperparameters are absent, decoding parameters are absent, and the dataset is constructed from public sources with expert scoring ('scored by experts along three dimensions'), but the scoring procedure is not fully specified.
[R2] The paper provides a detailed breakdown of the system architecture in Section 4. It explicitly describes the backend engine components (Section 4.1), including the 'LLM-driven Multi-Agent Simulation' pipeline with four distinct stages (Plan, Query, Request, Reply) and the 'Supply Chain Explain Model' using specific algorithms (VGAE, Random Forest, Lasso, etc.). The frontend interface is also detailed with specific views (Global, Focus, Adjustment, Simulation Path). Crucially, Appendix A provides the full verbatim prompts used for each stage of the simulation, allowing for independent replication of the core logic.</v>
      </c>
      <c r="ET5" s="14" t="s">
        <v>344</v>
      </c>
      <c r="EU5" s="15" t="s">
        <v>2307</v>
      </c>
      <c r="EV5" s="14" t="s">
        <v>344</v>
      </c>
      <c r="EW5" s="15" t="s">
        <v>2308</v>
      </c>
      <c r="EX5" s="14" t="s">
        <v>344</v>
      </c>
      <c r="EY5" s="15" t="s">
        <v>2309</v>
      </c>
      <c r="EZ5" s="14" t="s">
        <v>231</v>
      </c>
      <c r="FA5" s="14" t="s">
        <v>350</v>
      </c>
      <c r="FB5" s="14" t="s">
        <v>231</v>
      </c>
      <c r="FC5" s="14" t="s">
        <v>231</v>
      </c>
      <c r="FD5" s="16" t="s">
        <v>467</v>
      </c>
      <c r="FE5" s="14" t="s">
        <v>231</v>
      </c>
      <c r="FF5" s="15" t="s">
        <v>2310</v>
      </c>
      <c r="FG5" s="14" t="s">
        <v>231</v>
      </c>
      <c r="FH5" s="14" t="s">
        <v>231</v>
      </c>
      <c r="FI5" s="14"/>
      <c r="FJ5" s="14" t="s">
        <v>2178</v>
      </c>
    </row>
    <row r="6" customFormat="false" ht="60" hidden="false" customHeight="true" outlineLevel="0" collapsed="false">
      <c r="A6" s="7" t="s">
        <v>2311</v>
      </c>
      <c r="B6" s="7" t="s">
        <v>2312</v>
      </c>
      <c r="C6" s="7" t="s">
        <v>2313</v>
      </c>
      <c r="D6" s="16" t="s">
        <v>2111</v>
      </c>
      <c r="E6" s="14"/>
      <c r="F6" s="14" t="s">
        <v>2313</v>
      </c>
      <c r="G6" s="14" t="s">
        <v>2312</v>
      </c>
      <c r="H6" s="14" t="s">
        <v>2314</v>
      </c>
      <c r="I6" s="12" t="str">
        <f aca="false">IF(Comparison!$N$132="Resolved",IF(Comparison!$L$132="","",Comparison!$L$132),"⚠ UNRESOLVED")</f>
        <v>Massachusetts Institute of Technology (MIT); Microsoft Research; Microsoft</v>
      </c>
      <c r="J6" s="12" t="str">
        <f aca="false">IF(Comparison!$N$133="Resolved",IF(Comparison!$L$133="","",Comparison!$L$133),"⚠ UNRESOLVED")</f>
        <v>United States</v>
      </c>
      <c r="K6" s="14" t="s">
        <v>2185</v>
      </c>
      <c r="L6" s="14" t="s">
        <v>2315</v>
      </c>
      <c r="M6" s="14" t="s">
        <v>2316</v>
      </c>
      <c r="N6" s="14"/>
      <c r="O6" s="14" t="s">
        <v>264</v>
      </c>
      <c r="P6" s="14"/>
      <c r="Q6" s="14" t="s">
        <v>231</v>
      </c>
      <c r="R6" s="14" t="s">
        <v>2317</v>
      </c>
      <c r="S6" s="15" t="s">
        <v>2318</v>
      </c>
      <c r="T6" s="14" t="s">
        <v>2121</v>
      </c>
      <c r="U6" s="15" t="s">
        <v>2319</v>
      </c>
      <c r="V6" s="12" t="str">
        <f aca="false">IF(Comparison!$N$134="Resolved",IF(Comparison!$L$134="","",Comparison!$L$134),"⚠ UNRESOLVED")</f>
        <v>Cloud computing / supply chain management (also chemical and automotive procurement examples)</v>
      </c>
      <c r="W6" s="15" t="str">
        <f aca="false">IF(Comparison!$M$134="","[R1] "&amp;Comparison!$J$134&amp;CHAR(10)&amp;CHAR(10)&amp;"[R2] "&amp;Comparison!$K$134,Comparison!$M$134)</f>
        <v>[R1] Sec. 6 describes deployment in Microsoft's Azure cloud hardware supply chain ('Cloud computing is a multi-billion-dollar business...'). Sec. 7 gives procurement examples from the chemical industry and from automotive OEMs. These are secondary, third-party anecdotes, not the authors' own system.
[R2] The primary case study and production deployment described in Section 6 is for 'Microsoft's Cloud Supply Chain', specifically Azure. The text states, 'Cloud computing is a multi-billion-dollar business... Azure, the Microsoft cloud...'. While other sectors like chemical and automotive are mentioned in Section 7, the core detailed implementation and evaluation are in the cloud/tech sector.</v>
      </c>
      <c r="X6" s="12" t="str">
        <f aca="false">IF(Comparison!$N$135="Resolved",IF(Comparison!$L$135="","",Comparison!$L$135),"⚠ UNRESOLVED")</f>
        <v>Microsoft Azure cloud hardware supply chain: demand drift analysis and fulfillment plan (server/cluster deployment to datacenters) what-if Q&amp;A</v>
      </c>
      <c r="Y6" s="15" t="str">
        <f aca="false">IF(Comparison!$M$135="","[R1] "&amp;Comparison!$J$135&amp;CHAR(10)&amp;CHAR(10)&amp;"[R2] "&amp;Comparison!$K$135,Comparison!$M$135)</f>
        <v>[R1] Sec. 6, Example 1 (Demand Drift Analysis) and Example 2 (Understanding Fulfillment Decisions): 'assigning and shipping servers from warehouses to data centers'. Testing also included 'synthetic examples from other domains, such as a manufacturing scenario with raw-material suppliers, factories and retailers'.
[R2] The paper focuses on 'Supply Chain Management' (Abstract). Specifically, the main case study involves 'hardware deployment decisions', 'demand plan', and 'fulfillment plan' for cloud datacenters (Section 6). Secondary examples involve 'procurement decisions' in chemical and automotive industries (Section 7).</v>
      </c>
      <c r="Z6" s="14" t="s">
        <v>264</v>
      </c>
      <c r="AA6" s="15" t="s">
        <v>2320</v>
      </c>
      <c r="AB6" s="14" t="s">
        <v>2275</v>
      </c>
      <c r="AC6" s="15" t="s">
        <v>2321</v>
      </c>
      <c r="AD6" s="12" t="str">
        <f aca="false">IF(Comparison!$N$136="Resolved",IF(Comparison!$L$136="","",Comparison!$L$136),"⚠ UNRESOLVED")</f>
        <v>resilience-risk-scenario-planning; other</v>
      </c>
      <c r="AE6" s="12" t="str">
        <f aca="false">IF(Comparison!$N$137="Resolved",IF(Comparison!$L$137="","",Comparison!$L$137),"⚠ UNRESOLVED")</f>
        <v>LLM-based data discovery and insights (natural-language-to-SQL), explanation of optimization-based supply chain plans, what-if analysis by modifying optimization models (constraints) for S&amp;OP/fulfillment plans, demand drift analysis reports, and procurement contract compliance and template analysis.</v>
      </c>
      <c r="AF6" s="15" t="str">
        <f aca="false">IF(Comparison!$M$136="","[R1] "&amp;Comparison!$J$136&amp;CHAR(10)&amp;CHAR(10)&amp;"[R2] "&amp;Comparison!$K$136,Comparison!$M$136)</f>
        <v>[R1] Sec. 4: the LLM translates what-if questions into small changes to the optimization model (e.g., adding constraints), and the supply chain tool re-solves. Sec. 5: interactive replanning for disruptions (facility down for seven days due to a winter storm; increased supplier lead time). These support resilience/disruption scenario analysis, but at plan level rather than network configuration ('?'). Core tasks not covered by the listed values (data insights, plan explanation, demand drift analysis, contract analysis in Sec. 3, 6, 7) are coded as 'other'.
[R2] Section 1 mentions 'Network Strategy' and 'Supply Chain Resiliency'. Section 4 discusses answering what-if questions like 'Can we still fulfill all demand if we shut down factory F?' which relates to resilience/scenario planning. Section 6 describes 'fulfillment plan' which involves assigning hardware to datacenters, a form of network configuration/allocation. The LLM facilitates these tasks by translating natural language to optimization constraints/queries.</v>
      </c>
      <c r="AG6" s="12" t="str">
        <f aca="false">IF(Comparison!$N$138="Resolved",IF(Comparison!$L$138="","",Comparison!$L$138),"⚠ UNRESOLVED")</f>
        <v>procurement; production; distribution; sales</v>
      </c>
      <c r="AH6" s="15" t="str">
        <f aca="false">IF(Comparison!$M$138="","[R1] "&amp;Comparison!$J$138&amp;CHAR(10)&amp;CHAR(10)&amp;"[R2] "&amp;Comparison!$K$138,Comparison!$M$138)</f>
        <v>[R1] Procurement: raw material suppliers, supplier lead times (Sec. 3, 5) and procurement contract examples (Sec. 7). Production: factories and the question 'where should we produce' (Sec. 4). Distribution: shipping options, fulfillment plan shipping servers from warehouses to datacenters, warehouse deactivation (Sec. 3, 6). Sales: demand plan and demand drift analysis, demand increase what-ifs (Sec. 4, 6).
[R2] The paper covers 'sourcing strategies' (procurement, Section 1), 'planning and execution' involving factories/production (Section 1, Section 5), and 'shipping'/'fulfillment' to datacenters/retailers (distribution, Section 3, Section 6). Section 7 explicitly discusses procurement examples. Section 6 discusses cloud hardware deployment which spans procurement (sourcing hardware) and distribution (shipping to datacenters).</v>
      </c>
      <c r="AI6" s="14"/>
      <c r="AJ6" s="15" t="s">
        <v>2322</v>
      </c>
      <c r="AK6" s="12" t="str">
        <f aca="false">IF(Comparison!$N$139="Resolved",IF(Comparison!$L$139="","",Comparison!$L$139),"⚠ UNRESOLVED")</f>
        <v>Y</v>
      </c>
      <c r="AL6" s="15" t="str">
        <f aca="false">IF(Comparison!$M$139="","[R1] "&amp;Comparison!$J$139&amp;CHAR(10)&amp;CHAR(10)&amp;"[R2] "&amp;Comparison!$K$139,Comparison!$M$139)</f>
        <v>[R1] Sec. 6 Background: 'the demand is exposed through a demand plan, which summarizes important information about demand requests for the next year or so.' This is a loose but explicit horizon statement for the planning data the method operates on. Other horizons mentioned are short-term (e.g., 'down for seven days', 'dock a certain demand a week earlier').
[R2] The paper mentions 'next year or so' for the demand plan in Section 6, but this is a specific instance of a demand plan horizon, not a general strategic planning horizon defined by the method. The method itself is described as reducing time-to-decision from days/weeks to minutes/hours, implying operational/tactical agility rather than a fixed long-term strategic horizon. No explicit strategic time horizon (e.g., 5-10 years) is stated as the scope of the LLM method.</v>
      </c>
      <c r="AM6" s="12" t="str">
        <f aca="false">IF(Comparison!$N$140="Resolved",IF(Comparison!$L$140="","",Comparison!$L$140),"⚠ UNRESOLVED")</f>
        <v>next year or so</v>
      </c>
      <c r="AN6" s="14" t="s">
        <v>2323</v>
      </c>
      <c r="AO6" s="15" t="s">
        <v>2324</v>
      </c>
      <c r="AP6" s="12" t="str">
        <f aca="false">IF(Comparison!$N$141="Resolved",IF(Comparison!$L$141="","",Comparison!$L$141),"⚠ UNRESOLVED")</f>
        <v/>
      </c>
      <c r="AQ6" s="15" t="str">
        <f aca="false">IF(Comparison!$M$141="","[R1] "&amp;Comparison!$J$141&amp;CHAR(10)&amp;CHAR(10)&amp;"[R2] "&amp;Comparison!$K$141,Comparison!$M$141)</f>
        <v>[R1] No claim found. The authors refer to use cases including 'Network Strategy' and S&amp;OP (Sec. 1) but do not explicitly claim strategic, tactical or operational planning.
[R2] The authors describe the technology as facilitating 'Sales and Operations Planning (S&amp;OP)' (Section 1) and reducing decision time to 'minutes and hours' (Abstract). S&amp;OP is a tactical planning process. They do not explicitly claim to be performing long-term strategic network design (e.g., 5-10 year horizon) but rather enabling better tactical/operational decisions using existing optimization tools.</v>
      </c>
      <c r="AR6" s="14" t="s">
        <v>231</v>
      </c>
      <c r="AS6" s="15" t="s">
        <v>2325</v>
      </c>
      <c r="AT6" s="14" t="s">
        <v>231</v>
      </c>
      <c r="AU6" s="15" t="s">
        <v>2326</v>
      </c>
      <c r="AV6" s="14"/>
      <c r="AW6" s="14" t="s">
        <v>467</v>
      </c>
      <c r="AX6" s="15" t="s">
        <v>2327</v>
      </c>
      <c r="AY6" s="15" t="s">
        <v>2328</v>
      </c>
      <c r="AZ6" s="14"/>
      <c r="BA6" s="12" t="str">
        <f aca="false">IF(Comparison!$N$142="Resolved",IF(Comparison!$L$142="","",Comparison!$L$142),"⚠ UNRESOLVED")</f>
        <v>The LLM sits between supply-chain planners and existing supply-chain tools and data, which are not replaced. The flow has three steps. (1) A question handler receives a planner's plain-language question, appends in-context examples (question–code pairs from a repository), and sends it to the LLM. (2) The LLM translates the question into application code, such as a data query (e.g., SQL) or a small modification of the optimization model (e.g., adding a constraint for a what-if scenario). This code is run against the supply-chain tool (optimization solver) and/or the data repository. (3) The application output is passed through an interpreter and the LLM, again with in-context learning, to produce a plain-language answer. Proprietary data need not be passed to the LLM.Use cases are data discovery and insights, what-if analysis, and interactive planning (e.g., re-planning around a disrupted facility, lead-time alarms). In production at Microsoft's cloud supply chain, two applications are deployed. The first is demand drift analysis: the LLM ingests demand plans from different periods and generates an email report of changes, root causes and potential errors. The second is a Q&amp;A/what-if system over the hardware fulfillment optimization, e.g., cost impact of docking demand a week earlier or deactivating a warehouse. This deployment reports about 90% accuracy and an estimated 23% saving of fulfillment investigation time. Procurement examples (contract template redesign, identifying unclaimed contract discounts) are also reported.</v>
      </c>
      <c r="BB6" s="12" t="str">
        <f aca="false">IF(Comparison!$N$143="Resolved",IF(Comparison!$L$143="","",Comparison!$L$143),"⚠ UNRESOLVED")</f>
        <v>GPT-4; Llama-2; Phi-2</v>
      </c>
      <c r="BC6" s="15" t="str">
        <f aca="false">IF(Comparison!$M$143="","[R1] "&amp;Comparison!$J$143&amp;CHAR(10)&amp;CHAR(10)&amp;"[R2] "&amp;Comparison!$K$143,Comparison!$M$143)</f>
        <v>[R1] Section 6 'Evaluation and Deployment' states that multiple models were tested: 'in-context learning for the larger models such as GPT-4 (OpenAI), and fine-tuning for smaller open-sourced models such as Llama-2 from Meta and Phi-2 from Microsoft'. It also states that 'The current deployment uses GPT-4 and achieves around 90% accuracy.' Llama-2 and Phi-2 were evaluated but not deployed in production. Models mentioned only in Section 1 as general examples (Meta's Llama, Google's Palm/Gemini, OpenAI's GPT) are not listed. Small Language Models in general (Section 8) are future work. The procurement examples (Section 7) do not name models.
[R2] Section 6 ('Evaluation and Deployment') states: 'Multiple language models and training approaches have been tested, including in-context learning for the larger models such as GPT-4 (OpenAI), and fine-tuning for smaller open-sourced models such as Llama-2 from Meta and Phi-2 from Microsoft.' It further states: 'The current deployment uses GPT-4...'. While Llama-2 and Phi-2 were tested, GPT-4 is the primary deployed model. All three are explicitly named as part of the evaluation/deployment process.</v>
      </c>
      <c r="BD6" s="12" t="str">
        <f aca="false">IF(Comparison!$N$144="Resolved",IF(Comparison!$L$144="","",Comparison!$L$144),"⚠ UNRESOLVED")</f>
        <v>GPT-4 is used with in-context learning and is the production model (about 90% accuracy). Llama-2 and Phi-2 were fine-tuned and tested as smaller open-source alternatives during evaluation; they are not in the current deployment.</v>
      </c>
      <c r="BE6" s="14" t="s">
        <v>2329</v>
      </c>
      <c r="BF6" s="15" t="s">
        <v>2330</v>
      </c>
      <c r="BG6" s="14"/>
      <c r="BH6" s="14" t="s">
        <v>597</v>
      </c>
      <c r="BI6" s="15" t="s">
        <v>2331</v>
      </c>
      <c r="BJ6" s="14" t="s">
        <v>264</v>
      </c>
      <c r="BK6" s="14" t="s">
        <v>2140</v>
      </c>
      <c r="BL6" s="15" t="s">
        <v>2332</v>
      </c>
      <c r="BM6" s="14" t="s">
        <v>2142</v>
      </c>
      <c r="BN6" s="15" t="s">
        <v>2333</v>
      </c>
      <c r="BO6" s="12" t="str">
        <f aca="false">IF(Comparison!$N$145="Resolved",IF(Comparison!$L$145="","",Comparison!$L$145),"⚠ UNRESOLVED")</f>
        <v>other</v>
      </c>
      <c r="BP6" s="15" t="str">
        <f aca="false">IF(Comparison!$M$145="","[R1] "&amp;Comparison!$J$145&amp;CHAR(10)&amp;CHAR(10)&amp;"[R2] "&amp;Comparison!$K$145,Comparison!$M$145)</f>
        <v>[R1] Section 6 states that 'fine-tuning for smaller open-sourced models such as Llama-2 ... and Phi-2' was tested, but the method (full or parameter-efficient) is not specified. The deployed GPT-4 uses in-context learning only, with no weight updates.
[R2] Section 6 mentions 'fine-tuning for smaller open-sourced models such as Llama-2... and Phi-2'. It does not specify LoRA or other PEFT methods, so 'full-fine-tuning' is the most accurate broad category for weight updates, or potentially 'other' if specific PEFT was used but not named. However, 'fine-tuning' is the term used. Given the options, 'full-fine-tuning' is the standard category for SFT/instruction tuning unless LoRA is specified. The paper contrasts 'fine-tuning' with 'in-context learning'.</v>
      </c>
      <c r="BQ6" s="12" t="str">
        <f aca="false">IF(Comparison!$N$146="Resolved",IF(Comparison!$L$146="","",Comparison!$L$146),"⚠ UNRESOLVED")</f>
        <v>Llama-2 and Phi-2 were fine-tuned during evaluation; the data and procedure are not reported. Presumably the training data are question–code pairs similar to the in-context repository (?).</v>
      </c>
      <c r="BR6" s="12" t="str">
        <f aca="false">IF(Comparison!$N$147="Resolved",IF(Comparison!$L$147="","",Comparison!$L$147),"⚠ UNRESOLVED")</f>
        <v>Unspecified fine-tuning of Llama-2 and Phi-2 (method not reported)</v>
      </c>
      <c r="BS6" s="14" t="s">
        <v>2334</v>
      </c>
      <c r="BT6" s="15" t="s">
        <v>2335</v>
      </c>
      <c r="BU6" s="14"/>
      <c r="BV6" s="14" t="s">
        <v>2147</v>
      </c>
      <c r="BW6" s="15" t="s">
        <v>2336</v>
      </c>
      <c r="BX6" s="14" t="s">
        <v>814</v>
      </c>
      <c r="BY6" s="15" t="s">
        <v>2337</v>
      </c>
      <c r="BZ6" s="14" t="s">
        <v>467</v>
      </c>
      <c r="CA6" s="14" t="s">
        <v>231</v>
      </c>
      <c r="CB6" s="14" t="s">
        <v>231</v>
      </c>
      <c r="CC6" s="15" t="s">
        <v>2338</v>
      </c>
      <c r="CD6" s="12" t="str">
        <f aca="false">IF(Comparison!$N$148="Resolved",IF(Comparison!$L$148="","",Comparison!$L$148),"⚠ UNRESOLVED")</f>
        <v>solver; database-SQL; code-execution; enterprise-system</v>
      </c>
      <c r="CE6" s="15" t="str">
        <f aca="false">IF(Comparison!$M$148="","[R1] "&amp;Comparison!$J$148&amp;CHAR(10)&amp;CHAR(10)&amp;"[R2] "&amp;Comparison!$K$148,Comparison!$M$148)</f>
        <v>[R1] Solver: what-if questions are translated into modifications of mathematical programs that are run by the supply chain optimization tool (Section 4; Section 6, Example 2, fulfillment optimization). Database-SQL: questions are translated into 'data science queries which are in turn fed into the company's data repository (e.g., a SQL database)' (Section 3). Code-execution: the LLM 'outputs application code, which may invoke a supply chain tool ... and/or utilize the application's data repository', and this code is executed (Figure 1). RAG is mentioned only in Section 8 as an alternative option, not as part of the method.
[R2] Section 3: 'fed into the company's data repository (e.g., a SQL database)'. Section 4: 'fed to the supply chain tool to produce a modified plan' (optimization solver). Section 7: 'direct interaction with the company's historical data (Excel and Word documents, PDF files, or ERP and CRM technologies)'.</v>
      </c>
      <c r="CF6" s="14" t="s">
        <v>232</v>
      </c>
      <c r="CG6" s="15" t="s">
        <v>2339</v>
      </c>
      <c r="CH6" s="12" t="str">
        <f aca="false">IF(Comparison!$N$149="Resolved",IF(Comparison!$L$149="","",Comparison!$L$149),"⚠ UNRESOLVED")</f>
        <v>high</v>
      </c>
      <c r="CI6" s="15" t="str">
        <f aca="false">IF(Comparison!$M$149="","[R1] "&amp;Comparison!$J$149&amp;CHAR(10)&amp;CHAR(10)&amp;"[R2] "&amp;Comparison!$K$149,Comparison!$M$149)</f>
        <v>[R1] Section 4 states that the optimization tasks are written as mathematical programs and that what-if questions add constraints. Section 6, Example 2, specifies the components: decision variables (supplier, dock date, deployment location), an objective (minimize shipping and delay costs) and constraints, solved by 'sophisticated optimization solvers'. The full formulation is not given in this chapter; it is referenced to [2]. Some uncertainty ('?') about the exact program type remains.
[R2] The paper does not present a new mathematical formulation (variables, objective, constraints) for a specific problem. Instead, it describes a framework where the LLM generates 'small changes' (constraints) to existing mathematical programs (Section 4). The underlying optimization problems are formal (MILP/LP likely, given the context of supply chain planning and 'optimization solvers'), but the paper itself treats them as black-box tools or existing artifacts. The LLM's role is to interface with these formal models. Since the method relies on existing formal optimization models but does not define them itself, and the interaction is via code generation for these models, 'medium' is appropriate as it involves explicit optimization models (the tools) but the paper's contribution is the interface/orchestration rather than the formulation itself. However, looking at the definition: 'medium: Explicit objective and constraints, solved by approximate search or scoring'. This doesn't fit perfectly. 'high: Explicit mathematical program... solved exactly'. The tools solve exactly. The paper *uses* high-level formalization. But the *method* (the LLM system) doesn't formulate it. Let's re-read the schema: 'Formalization level of the optimization the proposed method itself performs'. The proposed method *invokes* optimization. It doesn't *perform* the mathematical derivation. However, without the optimization, the method doesn't exist. The optimization is central. The tools are 'sophisticated optimization solvers'. The LLM generates 'mathematical code' (constraints). This implies the underlying problems are formal. I will select 'high' because the system relies on and manipulates explicit mathematical programs (constraints added to existing models), even if the LLM doesn't derive the full model from scratch in the paper's narrative. Wait, Section 5 mentions 'generate a mathematical model corresponding to the user description' as a future/advanced direction, but currently it's 'small change to the original mathematical model'. The original models are formal. The LLM generates code for them. This is closer to 'high' in terms of the substrate being formal. Let's look at 'low': 'Objective/criteria named informally; no formal model'. This is definitely not low. It's either high or medium. Given the tools are 'optimization solvers' and the LLM generates 'mathematical code' (constraints), the substrate is formal. I will go with 'high' because the optimization problems being solved are explicitly mathematical programs (MILP/LP implied by 'optimization solvers' and 'mathematical programs' in Sec 4).</v>
      </c>
      <c r="CJ6" s="14" t="s">
        <v>2340</v>
      </c>
      <c r="CK6" s="15" t="s">
        <v>2341</v>
      </c>
      <c r="CL6" s="14"/>
      <c r="CM6" s="12" t="str">
        <f aca="false">IF(Comparison!$N$150="Resolved",IF(Comparison!$L$150="","",Comparison!$L$150),"⚠ UNRESOLVED")</f>
        <v>result-interpreter; formulator; solver-orchestrator</v>
      </c>
      <c r="CN6" s="15" t="str">
        <f aca="false">IF(Comparison!$M$150="","[R1] "&amp;Comparison!$J$150&amp;CHAR(10)&amp;CHAR(10)&amp;"[R2] "&amp;Comparison!$K$150,Comparison!$M$150)</f>
        <v>[R1] Section 4 / Figure 1:
- **formulator:** the LLM translates the user's what-if question into application code that modifies the optimization model (e.g., adds constraints).
- **solver-orchestrator:** the generated code invokes the supply chain tool / optimization solver.
- **result-interpreter:** the solver output is passed back through the LLM (the interpreter) to produce a plain-language answer; what-if answering is OptiGuide-style.
Section 5 mentions full model generation only as a future direction, so it was not counted. Verification is discussed only as a challenge in Section 8.
[R2] 1. Solver-orchestrator: Section 4 describes the LLM translating human queries into 'mathematical code' (constraints) which is 'fed to the supply chain tool to produce a modified plan'. Figure 1 shows the LLM outputting 'Application Code' which 'may invoke a supply chain tool (e.g., optimization solver)'. This fits the definition of calling a solver as a tool. 2. Result-interpreter: Section 3 and 4 describe the LLM translating the numerical results from the data repository or optimization tool back into 'complete sentence form' or 'human language' for the planner. Section 6 Example 1 describes generating an email report explaining changes. This fits the definition of explaining solutions or answering what-if questions on them.</v>
      </c>
      <c r="CO6" s="14" t="s">
        <v>264</v>
      </c>
      <c r="CP6" s="15" t="s">
        <v>2342</v>
      </c>
      <c r="CQ6" s="12" t="str">
        <f aca="false">IF(Comparison!$N$151="Resolved",IF(Comparison!$L$151="","",Comparison!$L$151),"⚠ UNRESOLVED")</f>
        <v>Microsoft cloud hardware fulfillment plan (Section 6, Example 2). For each demand request, the decisions are:- the hardware supplier used to fulfill the demand;- the cluster dock date (deployment timeline);- the deployment location in the datacenter (the row of tiles).The objective is to minimize total cost, including shipping costs and delay costs relative to the ideal dock dates. The model is subject to many constraints: compatibility, capacity, inventory and operational throughput.What-if questions are handled as small model changes, for example adding constraints that force a retailer to use a specific factory, shifting a dock date, or deactivating a warehouse. The modified model is re-solved and the result compared with the baseline plan.Generic examples (Section 4) use a manufacturing supply chain with suppliers, factories and retailers.</v>
      </c>
      <c r="CR6" s="14" t="s">
        <v>2343</v>
      </c>
      <c r="CS6" s="15" t="s">
        <v>2344</v>
      </c>
      <c r="CT6" s="14" t="s">
        <v>257</v>
      </c>
      <c r="CU6" s="15" t="s">
        <v>2345</v>
      </c>
      <c r="CV6" s="12" t="str">
        <f aca="false">IF(Comparison!$N$152="Resolved",IF(Comparison!$L$152="","",Comparison!$L$152),"⚠ UNRESOLVED")</f>
        <v>Author-built test question sets for each example (demand drift, fulfillment what-if, synthetic manufacturing scenario); size NR</v>
      </c>
      <c r="CW6" s="15" t="str">
        <f aca="false">IF(Comparison!$M$152="","[R1] "&amp;Comparison!$J$152&amp;CHAR(10)&amp;CHAR(10)&amp;"[R2] "&amp;Comparison!$K$152,Comparison!$M$152)</f>
        <v>[R1] Sec. 6 states that a set of test questions was created for each example. No size or name is reported, and no public benchmark is used. A repository of question-code pairs used for in-context learning is mentioned in Sec. 4, with details deferred to reference [1].
[R2] The paper mentions creating a 'set of test questions' and using 'synthetic examples' but does not name a specific public dataset or benchmark (e.g., no specific name like 'SC-Bench' or size like '1000 questions'). It refers to internal data repositories and specific business cases (Microsoft cloud, procurement contracts) but not a standardized external dataset.</v>
      </c>
      <c r="CX6" s="14" t="s">
        <v>468</v>
      </c>
      <c r="CY6" s="15" t="s">
        <v>2346</v>
      </c>
      <c r="CZ6" s="12" t="n">
        <f aca="false">IF(Comparison!$N$153="Resolved",IF(Comparison!$L$153="","",Comparison!$L$153),"⚠ UNRESOLVED")</f>
        <v>4</v>
      </c>
      <c r="DA6" s="15" t="str">
        <f aca="false">IF(Comparison!$M$153="","[R1] "&amp;Comparison!$J$153&amp;CHAR(10)&amp;CHAR(10)&amp;"[R2] "&amp;Comparison!$K$153,Comparison!$M$153)</f>
        <v>[R1] Quantitative values appear only in Sec. 6: about 90% accuracy, about 23% time saved, and qualitative-quantitative time reductions. The procurement savings in Sec. 7 ('millions of dollars') are vague and refer to third-party cases, so they are not included as a metric.
[R2] Extracted quantitative values from Section 6. '90% accuracy' is explicitly stated. 'Minutes' vs 'week' is a time metric. '23%' is an efficiency metric. No other specific numeric metrics (like latency in ms or cost per query) are reported.</v>
      </c>
      <c r="DB6" s="14" t="s">
        <v>799</v>
      </c>
      <c r="DC6" s="15" t="s">
        <v>2347</v>
      </c>
      <c r="DD6" s="14" t="s">
        <v>264</v>
      </c>
      <c r="DE6" s="15" t="s">
        <v>2348</v>
      </c>
      <c r="DF6" s="16" t="s">
        <v>264</v>
      </c>
      <c r="DG6" s="14" t="s">
        <v>231</v>
      </c>
      <c r="DH6" s="12" t="str">
        <f aca="false">IF(Comparison!$N$154="Resolved",IF(Comparison!$L$154="","",Comparison!$L$154),"⚠ UNRESOLVED")</f>
        <v>partially</v>
      </c>
      <c r="DI6" s="14" t="s">
        <v>231</v>
      </c>
      <c r="DJ6" s="15" t="s">
        <v>2349</v>
      </c>
      <c r="DK6" s="12" t="str">
        <f aca="false">IF(Comparison!$N$155="Resolved",IF(Comparison!$L$155="","",Comparison!$L$155),"⚠ UNRESOLVED")</f>
        <v>LLM-based technology can currently model only simple supply chain structures and cannot reliably generate complete mathematical models for complex industrial environments; tools to validate LLM-generated models are lacking.; User questions may be ambiguous relative to the precise language of optimization, so users need training or the system must ask clarifying questions.; Verifying the correctness and solvability of LLM-generated code or formulations is difficult, and LLMs will occasionally produce wrong outputs that require error detection and recovery.; Decisions depend on clean, reliable data, and keeping proprietary data fully separate from the LLM may not always be possible; fine-tuning and RAG also involve cost trade-offs.; The deployment currently supports only the most common what-if questions, with gradual expansion planned.; Users may need training to ask precise questions as human language can be ambiguous compared to optimization language.; Verifying the correctness of code or mathematical models generated by LLMs is challenging, especially for complex industrial environments.; Data availability and quality are critical; proprietary data separation from LLMs may not always be possible, and missing data can affect tool performance.</v>
      </c>
      <c r="DL6" s="15" t="str">
        <f aca="false">IF(Comparison!$M$155="","[R1] "&amp;Comparison!$J$155&amp;CHAR(10)&amp;CHAR(10)&amp;"[R2] "&amp;Comparison!$K$155,Comparison!$M$155)</f>
        <v>[R1] Limitations are drawn from Sec. 5 (end-to-end modeling), Sec. 6 (gradual deployment covering only common questions), and Sec. 8 (challenges: learning to ask questions, verifying correctness, data availability, cost and performance trade-offs).
[R2] Limitations are explicitly discussed in Section 8 (Discussion) under 'Learning to ask questions', 'Verifying correctness', and 'Data availability'.</v>
      </c>
      <c r="DM6" s="12" t="str">
        <f aca="false">IF(Comparison!$N$156="Resolved",IF(Comparison!$L$156="","",Comparison!$L$156),"⚠ UNRESOLVED")</f>
        <v>Microsoft deployed a GPT-4-based system using in-context learning that translates planner questions into code run against optimization tools and data, then interprets the results in plain language. It supports two use cases: demand drift analysis (automated email reports with root causes) and what-if Q&amp;A on fulfillment plans. The system achieves about 90% accuracy and saves about 23% of fulfillment investigation time. Drift analysis dropped from about a week to minutes, and question response times dropped from days to minutes. Planners reported higher productivity. Anecdotal procurement cases (chemical contract templates, automotive OEM missed discounts) reportedly yielded time savings and millions of dollars in savings.</v>
      </c>
      <c r="DN6" s="14"/>
      <c r="DO6" s="14"/>
      <c r="DP6" s="14"/>
      <c r="DQ6" s="14" t="s">
        <v>232</v>
      </c>
      <c r="DR6" s="15" t="s">
        <v>2350</v>
      </c>
      <c r="DS6" s="12" t="str">
        <f aca="false">IF(Comparison!$N$157="Resolved",IF(Comparison!$L$157="","",Comparison!$L$157),"⚠ UNRESOLVED")</f>
        <v>what-if-interface</v>
      </c>
      <c r="DT6" s="15" t="str">
        <f aca="false">IF(Comparison!$M$157="","[R1] "&amp;Comparison!$J$157&amp;CHAR(10)&amp;CHAR(10)&amp;"[R2] "&amp;Comparison!$K$157,Comparison!$M$157)</f>
        <v>[R1] The core deployed use case is human-initiated what-if exploration (Sec. 4; Sec. 6 Example 2). Planners ask questions such as "What is the cost increase if we dock a certain demand a week earlier?" and "How will cost change if we disactivate a certain warehouse for one week?" The LLM translates each question into a constraint change, and the optimization tool re-solves it. Review and adjustment of LLM-flagged errors in the drift email is a weaker additional human step. It is not framed as a mandatory gate, so it is not coded as approval-gate (?).
[R2] Approval-gate is present because planners must review and adjust outputs (e.g., demand drift analysis, fulfillment plan confirmation). What-if-interface is present because the core functionality involves humans posing scenarios ('What would be the additional cost if...') to explore outcomes (Section 4).</v>
      </c>
      <c r="DU6" s="12" t="str">
        <f aca="false">IF(Comparison!$N$158="Resolved",IF(Comparison!$L$158="","",Comparison!$L$158),"⚠ UNRESOLVED")</f>
        <v>Planners pose natural-language what-if questions. The LLM converts each question into a small modification of the optimization model (e.g., an added constraint), the supply chain tool re-solves the model, and an interpreter returns a plain-language comparison with the existing plan. Planners also review potential errors flagged in the LLM-generated demand drift email and adjust them. They can ask the system to re-run planning after LLM-generated alarms, such as an increased supplier lead time.</v>
      </c>
      <c r="DV6" s="14"/>
      <c r="DW6" s="14" t="s">
        <v>232</v>
      </c>
      <c r="DX6" s="15" t="s">
        <v>2351</v>
      </c>
      <c r="DY6" s="12" t="str">
        <f aca="false">IF(Comparison!$N$159="Resolved",IF(Comparison!$L$159="","",Comparison!$L$159),"⚠ UNRESOLVED")</f>
        <v>mathematical-model; relational-database</v>
      </c>
      <c r="DZ6" s="15" t="str">
        <f aca="false">IF(Comparison!$M$159="","[R1] "&amp;Comparison!$J$159&amp;CHAR(10)&amp;CHAR(10)&amp;"[R2] "&amp;Comparison!$K$159,Comparison!$M$159)</f>
        <v>[R1] Mathematical-model: optimization programs "transfer the structure of the supply chain and all the business requirements into a mathematical model" (Sec. 4). The Microsoft fulfillment optimization covers supplier, dock-date and placement decisions (Sec. 6). Relational-database: a SQL data repository holds supply chain data and plans (Sec. 3).
[R2] Mathematical-model: Section 4 states 'supply chain planning tools use mathematical models, typically optimization methods... written in the form of mathematical programs'. Relational-database: Section 3 mentions 'fed into the company's data repository (e.g., a SQL database)'. Code-template: Section 4 mentions generating a 'large repository of questions and code answers' used as examples, which acts as a template for the LLM to generate new code.</v>
      </c>
      <c r="EA6" s="12" t="str">
        <f aca="false">IF(Comparison!$N$160="Resolved",IF(Comparison!$L$160="","",Comparison!$L$160),"⚠ UNRESOLVED")</f>
        <v>The supply chain planning tools use mathematical optimization models (e.g., the Azure hardware fulfillment optimizer, which minimizes shipping and delay costs under capacity and compatibility constraints). The LLM generates code that applies small changes to these models, such as adding constraints, for what-if analysis. Data and plans are stored in a SQL-type repository that the LLM queries through generated code.</v>
      </c>
      <c r="EB6" s="14"/>
      <c r="EC6" s="14" t="s">
        <v>232</v>
      </c>
      <c r="ED6" s="15" t="s">
        <v>2352</v>
      </c>
      <c r="EE6" s="12" t="str">
        <f aca="false">IF(Comparison!$N$161="Resolved",IF(Comparison!$L$161="","",Comparison!$L$161),"⚠ UNRESOLVED")</f>
        <v>custom-test-set</v>
      </c>
      <c r="EF6" s="15" t="str">
        <f aca="false">IF(Comparison!$M$161="","[R1] "&amp;Comparison!$J$161&amp;CHAR(10)&amp;CHAR(10)&amp;"[R2] "&amp;Comparison!$K$161,Comparison!$M$161)</f>
        <v>[R1] The test questions were created by the team for each example scenario (Sec. 6), and the metric is generic accuracy (~90%). The reported 23% saving in fulfillment investigation time is an impact estimate, not part of the stated protocol, so domain-specific-metric is not coded.
[R2] Custom-test-set: The authors created 'a set of test questions for each example' including 'challenging' ones with 'incorrect grammar'. Domain-specific-metric: The primary metric reported is 'accuracy' (90%), which in this context refers to the correctness of the LLM's translation of natural language to code/queries and the subsequent correct execution/answer, a domain-specific performance measure for this task.</v>
      </c>
      <c r="EG6" s="12" t="str">
        <f aca="false">IF(Comparison!$N$162="Resolved",IF(Comparison!$L$162="","",Comparison!$L$162),"⚠ UNRESOLVED")</f>
        <v>For each scenario (demand drift, fulfillment Q&amp;A, and a synthetic manufacturing scenario with raw-material suppliers, factories and retailers), the team built test question sets that include challenging items such as incorrect grammar or atypical questions. They compared in-context learning with GPT-4 against fine-tuned smaller models (Llama-2, Phi-2). The deployed GPT-4 system reaches around 90% accuracy, and deployment is gradual with monitoring of accuracy and user interactions.</v>
      </c>
      <c r="EH6" s="14"/>
      <c r="EI6" s="14"/>
      <c r="EJ6" s="14"/>
      <c r="EK6" s="14"/>
      <c r="EL6" s="14"/>
      <c r="EM6" s="14"/>
      <c r="EN6" s="14" t="s">
        <v>923</v>
      </c>
      <c r="EO6" s="15" t="s">
        <v>2353</v>
      </c>
      <c r="EP6" s="14" t="s">
        <v>2172</v>
      </c>
      <c r="EQ6" s="15" t="s">
        <v>2354</v>
      </c>
      <c r="ER6" s="14" t="s">
        <v>343</v>
      </c>
      <c r="ES6" s="15" t="s">
        <v>2355</v>
      </c>
      <c r="ET6" s="14" t="s">
        <v>343</v>
      </c>
      <c r="EU6" s="15" t="s">
        <v>2356</v>
      </c>
      <c r="EV6" s="14" t="s">
        <v>344</v>
      </c>
      <c r="EW6" s="15" t="s">
        <v>2357</v>
      </c>
      <c r="EX6" s="12" t="str">
        <f aca="false">IF(Comparison!$N$163="Resolved",IF(Comparison!$L$163="","",Comparison!$L$163),"⚠ UNRESOLVED")</f>
        <v>No</v>
      </c>
      <c r="EY6" s="15" t="str">
        <f aca="false">IF(Comparison!$M$163="","[R1] "&amp;Comparison!$J$163&amp;CHAR(10)&amp;CHAR(10)&amp;"[R2] "&amp;Comparison!$K$163,Comparison!$M$163)</f>
        <v>[R1] The paper gives a general LLM overview and lists some industry applications (procurement, revenue management in Section 1). It cites only the authors' own works [1]-[4] and [5] for SLMs. There is no explicit comparison against existing academic or commercial solutions for LLM-optimization integration.
[R2] The paper positions LLMs as a disruptive technology that democratizes supply chain tools compared to traditional manual/IT-dependent processes (Abstract, Section 1). It mentions other LLM applications in procurement and revenue management (Section 1). However, it does not explicitly compare its specific framework against other LLM-based supply chain frameworks or academic baselines. It differentiates itself by focusing on the integration with optimization solvers rather than replacing them, but lacks a direct comparison table or detailed differentiation from similar recent works.</v>
      </c>
      <c r="EZ6" s="14" t="s">
        <v>231</v>
      </c>
      <c r="FA6" s="12" t="str">
        <f aca="false">IF(Comparison!$N$164="Resolved",IF(Comparison!$L$164="","",Comparison!$L$164),"⚠ UNRESOLVED")</f>
        <v>partial</v>
      </c>
      <c r="FB6" s="14" t="s">
        <v>231</v>
      </c>
      <c r="FC6" s="14" t="s">
        <v>231</v>
      </c>
      <c r="FD6" s="16" t="s">
        <v>467</v>
      </c>
      <c r="FE6" s="14" t="s">
        <v>231</v>
      </c>
      <c r="FF6" s="15" t="s">
        <v>2358</v>
      </c>
      <c r="FG6" s="14" t="s">
        <v>231</v>
      </c>
      <c r="FH6" s="14" t="s">
        <v>231</v>
      </c>
      <c r="FI6" s="14"/>
      <c r="FJ6" s="14" t="s">
        <v>2178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sheetData>
    <row r="1" customFormat="false" ht="141" hidden="false" customHeight="false" outlineLevel="0" collapsed="false">
      <c r="A1" s="6" t="s">
        <v>1943</v>
      </c>
      <c r="B1" s="6" t="s">
        <v>1944</v>
      </c>
      <c r="C1" s="6" t="s">
        <v>1945</v>
      </c>
      <c r="D1" s="6" t="s">
        <v>1946</v>
      </c>
      <c r="E1" s="6" t="s">
        <v>1947</v>
      </c>
      <c r="F1" s="6" t="s">
        <v>1948</v>
      </c>
      <c r="G1" s="6" t="s">
        <v>1949</v>
      </c>
      <c r="H1" s="6" t="s">
        <v>1950</v>
      </c>
      <c r="I1" s="6" t="s">
        <v>1951</v>
      </c>
      <c r="J1" s="6" t="s">
        <v>1952</v>
      </c>
      <c r="K1" s="6" t="s">
        <v>1953</v>
      </c>
      <c r="L1" s="6" t="s">
        <v>1954</v>
      </c>
      <c r="M1" s="6" t="s">
        <v>1955</v>
      </c>
      <c r="N1" s="6" t="s">
        <v>1956</v>
      </c>
      <c r="O1" s="6" t="s">
        <v>1957</v>
      </c>
      <c r="P1" s="6" t="s">
        <v>1958</v>
      </c>
      <c r="Q1" s="6" t="s">
        <v>1959</v>
      </c>
      <c r="R1" s="6" t="s">
        <v>1960</v>
      </c>
      <c r="S1" s="6" t="s">
        <v>1961</v>
      </c>
      <c r="T1" s="6" t="s">
        <v>1962</v>
      </c>
      <c r="U1" s="6" t="s">
        <v>1963</v>
      </c>
      <c r="V1" s="6" t="s">
        <v>1964</v>
      </c>
      <c r="W1" s="6" t="s">
        <v>1965</v>
      </c>
      <c r="X1" s="6" t="s">
        <v>1966</v>
      </c>
      <c r="Y1" s="6" t="s">
        <v>1967</v>
      </c>
      <c r="Z1" s="6" t="s">
        <v>1968</v>
      </c>
      <c r="AA1" s="6" t="s">
        <v>1969</v>
      </c>
      <c r="AB1" s="6" t="s">
        <v>1970</v>
      </c>
      <c r="AC1" s="6" t="s">
        <v>1971</v>
      </c>
      <c r="AD1" s="6" t="s">
        <v>1972</v>
      </c>
      <c r="AE1" s="6" t="s">
        <v>1973</v>
      </c>
      <c r="AF1" s="6" t="s">
        <v>1974</v>
      </c>
      <c r="AG1" s="6" t="s">
        <v>1975</v>
      </c>
      <c r="AH1" s="6" t="s">
        <v>1976</v>
      </c>
      <c r="AI1" s="6" t="s">
        <v>1977</v>
      </c>
      <c r="AJ1" s="6" t="s">
        <v>1978</v>
      </c>
      <c r="AK1" s="6" t="s">
        <v>1979</v>
      </c>
      <c r="AL1" s="6" t="s">
        <v>1980</v>
      </c>
      <c r="AM1" s="6" t="s">
        <v>1981</v>
      </c>
      <c r="AN1" s="6" t="s">
        <v>1982</v>
      </c>
      <c r="AO1" s="6" t="s">
        <v>1983</v>
      </c>
      <c r="AP1" s="6" t="s">
        <v>1984</v>
      </c>
      <c r="AQ1" s="6" t="s">
        <v>1985</v>
      </c>
      <c r="AR1" s="6" t="s">
        <v>1986</v>
      </c>
      <c r="AS1" s="6" t="s">
        <v>1987</v>
      </c>
      <c r="AT1" s="6" t="s">
        <v>1988</v>
      </c>
      <c r="AU1" s="6" t="s">
        <v>1989</v>
      </c>
      <c r="AV1" s="6" t="s">
        <v>1990</v>
      </c>
      <c r="AW1" s="6" t="s">
        <v>1991</v>
      </c>
      <c r="AX1" s="6" t="s">
        <v>1992</v>
      </c>
      <c r="AY1" s="6" t="s">
        <v>1993</v>
      </c>
      <c r="AZ1" s="6" t="s">
        <v>1994</v>
      </c>
      <c r="BA1" s="6" t="s">
        <v>1995</v>
      </c>
      <c r="BB1" s="6" t="s">
        <v>1996</v>
      </c>
      <c r="BC1" s="6" t="s">
        <v>1997</v>
      </c>
      <c r="BD1" s="6" t="s">
        <v>1998</v>
      </c>
      <c r="BE1" s="6" t="s">
        <v>1999</v>
      </c>
      <c r="BF1" s="6" t="s">
        <v>2000</v>
      </c>
      <c r="BG1" s="6" t="s">
        <v>2001</v>
      </c>
      <c r="BH1" s="6" t="s">
        <v>2002</v>
      </c>
      <c r="BI1" s="6" t="s">
        <v>2003</v>
      </c>
      <c r="BJ1" s="6" t="s">
        <v>2004</v>
      </c>
      <c r="BK1" s="6" t="s">
        <v>2005</v>
      </c>
      <c r="BL1" s="6" t="s">
        <v>2006</v>
      </c>
      <c r="BM1" s="6" t="s">
        <v>2007</v>
      </c>
      <c r="BN1" s="6" t="s">
        <v>2008</v>
      </c>
      <c r="BO1" s="6" t="s">
        <v>2009</v>
      </c>
      <c r="BP1" s="6" t="s">
        <v>2010</v>
      </c>
      <c r="BQ1" s="6" t="s">
        <v>2011</v>
      </c>
      <c r="BR1" s="6" t="s">
        <v>2012</v>
      </c>
      <c r="BS1" s="6" t="s">
        <v>2013</v>
      </c>
      <c r="BT1" s="6" t="s">
        <v>2014</v>
      </c>
      <c r="BU1" s="6" t="s">
        <v>2015</v>
      </c>
      <c r="BV1" s="6" t="s">
        <v>2016</v>
      </c>
      <c r="BW1" s="6" t="s">
        <v>2017</v>
      </c>
      <c r="BX1" s="6" t="s">
        <v>2018</v>
      </c>
      <c r="BY1" s="6" t="s">
        <v>2019</v>
      </c>
      <c r="BZ1" s="6" t="s">
        <v>2020</v>
      </c>
      <c r="CA1" s="6" t="s">
        <v>2021</v>
      </c>
      <c r="CB1" s="6" t="s">
        <v>2022</v>
      </c>
      <c r="CC1" s="6" t="s">
        <v>2023</v>
      </c>
      <c r="CD1" s="6" t="s">
        <v>2024</v>
      </c>
      <c r="CE1" s="6" t="s">
        <v>2025</v>
      </c>
      <c r="CF1" s="6" t="s">
        <v>2026</v>
      </c>
      <c r="CG1" s="6" t="s">
        <v>2027</v>
      </c>
      <c r="CH1" s="6" t="s">
        <v>2028</v>
      </c>
      <c r="CI1" s="6" t="s">
        <v>2029</v>
      </c>
      <c r="CJ1" s="6" t="s">
        <v>2030</v>
      </c>
      <c r="CK1" s="6" t="s">
        <v>2031</v>
      </c>
      <c r="CL1" s="6" t="s">
        <v>2032</v>
      </c>
      <c r="CM1" s="6" t="s">
        <v>2033</v>
      </c>
      <c r="CN1" s="6" t="s">
        <v>2034</v>
      </c>
      <c r="CO1" s="6" t="s">
        <v>2035</v>
      </c>
      <c r="CP1" s="6" t="s">
        <v>2036</v>
      </c>
      <c r="CQ1" s="6" t="s">
        <v>2037</v>
      </c>
      <c r="CR1" s="6" t="s">
        <v>2038</v>
      </c>
      <c r="CS1" s="6" t="s">
        <v>2039</v>
      </c>
      <c r="CT1" s="6" t="s">
        <v>2040</v>
      </c>
      <c r="CU1" s="6" t="s">
        <v>2041</v>
      </c>
      <c r="CV1" s="6" t="s">
        <v>2042</v>
      </c>
      <c r="CW1" s="6" t="s">
        <v>2043</v>
      </c>
      <c r="CX1" s="6" t="s">
        <v>2044</v>
      </c>
      <c r="CY1" s="6" t="s">
        <v>2045</v>
      </c>
      <c r="CZ1" s="6" t="s">
        <v>126</v>
      </c>
      <c r="DA1" s="6" t="s">
        <v>2046</v>
      </c>
      <c r="DB1" s="6" t="s">
        <v>2047</v>
      </c>
      <c r="DC1" s="6" t="s">
        <v>2048</v>
      </c>
      <c r="DD1" s="6" t="s">
        <v>2049</v>
      </c>
      <c r="DE1" s="6" t="s">
        <v>2050</v>
      </c>
      <c r="DF1" s="6" t="s">
        <v>2051</v>
      </c>
      <c r="DG1" s="6" t="s">
        <v>2052</v>
      </c>
      <c r="DH1" s="6" t="s">
        <v>2053</v>
      </c>
      <c r="DI1" s="6" t="s">
        <v>2054</v>
      </c>
      <c r="DJ1" s="6" t="s">
        <v>2055</v>
      </c>
      <c r="DK1" s="6" t="s">
        <v>2056</v>
      </c>
      <c r="DL1" s="6" t="s">
        <v>2057</v>
      </c>
      <c r="DM1" s="6" t="s">
        <v>2058</v>
      </c>
      <c r="DN1" s="6" t="s">
        <v>2059</v>
      </c>
      <c r="DO1" s="6" t="s">
        <v>2060</v>
      </c>
      <c r="DP1" s="6" t="s">
        <v>2061</v>
      </c>
      <c r="DQ1" s="6" t="s">
        <v>2062</v>
      </c>
      <c r="DR1" s="6" t="s">
        <v>2063</v>
      </c>
      <c r="DS1" s="6" t="s">
        <v>2064</v>
      </c>
      <c r="DT1" s="6" t="s">
        <v>2065</v>
      </c>
      <c r="DU1" s="6" t="s">
        <v>2066</v>
      </c>
      <c r="DV1" s="6" t="s">
        <v>2067</v>
      </c>
      <c r="DW1" s="6" t="s">
        <v>2068</v>
      </c>
      <c r="DX1" s="6" t="s">
        <v>2069</v>
      </c>
      <c r="DY1" s="6" t="s">
        <v>2070</v>
      </c>
      <c r="DZ1" s="6" t="s">
        <v>2071</v>
      </c>
      <c r="EA1" s="6" t="s">
        <v>2072</v>
      </c>
      <c r="EB1" s="6" t="s">
        <v>2073</v>
      </c>
      <c r="EC1" s="6" t="s">
        <v>2074</v>
      </c>
      <c r="ED1" s="6" t="s">
        <v>2075</v>
      </c>
      <c r="EE1" s="6" t="s">
        <v>2076</v>
      </c>
      <c r="EF1" s="6" t="s">
        <v>2077</v>
      </c>
      <c r="EG1" s="6" t="s">
        <v>2078</v>
      </c>
      <c r="EH1" s="6" t="s">
        <v>2079</v>
      </c>
      <c r="EI1" s="6" t="s">
        <v>2080</v>
      </c>
      <c r="EJ1" s="6" t="s">
        <v>2081</v>
      </c>
      <c r="EK1" s="6" t="s">
        <v>2082</v>
      </c>
      <c r="EL1" s="6" t="s">
        <v>2083</v>
      </c>
      <c r="EM1" s="6" t="s">
        <v>2084</v>
      </c>
      <c r="EN1" s="6" t="s">
        <v>2085</v>
      </c>
      <c r="EO1" s="6" t="s">
        <v>2086</v>
      </c>
      <c r="EP1" s="6" t="s">
        <v>2087</v>
      </c>
      <c r="EQ1" s="6" t="s">
        <v>2088</v>
      </c>
      <c r="ER1" s="6" t="s">
        <v>2089</v>
      </c>
      <c r="ES1" s="6" t="s">
        <v>2090</v>
      </c>
      <c r="ET1" s="6" t="s">
        <v>2091</v>
      </c>
      <c r="EU1" s="6" t="s">
        <v>2092</v>
      </c>
      <c r="EV1" s="6" t="s">
        <v>2093</v>
      </c>
      <c r="EW1" s="6" t="s">
        <v>2094</v>
      </c>
      <c r="EX1" s="6" t="s">
        <v>2095</v>
      </c>
      <c r="EY1" s="6" t="s">
        <v>2096</v>
      </c>
      <c r="EZ1" s="6" t="s">
        <v>2097</v>
      </c>
      <c r="FA1" s="6" t="s">
        <v>2098</v>
      </c>
      <c r="FB1" s="6" t="s">
        <v>2099</v>
      </c>
      <c r="FC1" s="6" t="s">
        <v>2100</v>
      </c>
      <c r="FD1" s="6" t="s">
        <v>2101</v>
      </c>
      <c r="FE1" s="6" t="s">
        <v>2102</v>
      </c>
      <c r="FF1" s="6" t="s">
        <v>2103</v>
      </c>
      <c r="FG1" s="6" t="s">
        <v>2104</v>
      </c>
      <c r="FH1" s="6" t="s">
        <v>2105</v>
      </c>
      <c r="FI1" s="6" t="s">
        <v>2106</v>
      </c>
      <c r="FJ1" s="6" t="s">
        <v>2107</v>
      </c>
    </row>
    <row r="2" customFormat="false" ht="15" hidden="false" customHeight="false" outlineLevel="0" collapsed="false">
      <c r="A2" s="17" t="s">
        <v>2108</v>
      </c>
      <c r="B2" s="17" t="s">
        <v>2109</v>
      </c>
      <c r="C2" s="17" t="s">
        <v>2110</v>
      </c>
      <c r="D2" s="17" t="s">
        <v>2359</v>
      </c>
      <c r="E2" s="17"/>
      <c r="F2" s="17" t="s">
        <v>2110</v>
      </c>
      <c r="G2" s="17" t="s">
        <v>2109</v>
      </c>
      <c r="H2" s="17" t="s">
        <v>2112</v>
      </c>
      <c r="I2" s="17" t="s">
        <v>2113</v>
      </c>
      <c r="J2" s="17" t="s">
        <v>2114</v>
      </c>
      <c r="K2" s="17" t="s">
        <v>2115</v>
      </c>
      <c r="L2" s="17" t="s">
        <v>2116</v>
      </c>
      <c r="M2" s="17" t="s">
        <v>2117</v>
      </c>
      <c r="N2" s="17" t="s">
        <v>2118</v>
      </c>
      <c r="O2" s="17" t="s">
        <v>2119</v>
      </c>
      <c r="P2" s="17" t="s">
        <v>2120</v>
      </c>
      <c r="Q2" s="17" t="s">
        <v>231</v>
      </c>
      <c r="R2" s="17" t="s">
        <v>185</v>
      </c>
      <c r="S2" s="17" t="s">
        <v>187</v>
      </c>
      <c r="T2" s="17" t="s">
        <v>2121</v>
      </c>
      <c r="U2" s="17" t="s">
        <v>1107</v>
      </c>
      <c r="V2" s="17" t="s">
        <v>194</v>
      </c>
      <c r="W2" s="17" t="s">
        <v>196</v>
      </c>
      <c r="X2" s="17" t="s">
        <v>204</v>
      </c>
      <c r="Y2" s="17" t="s">
        <v>206</v>
      </c>
      <c r="Z2" s="17" t="s">
        <v>2123</v>
      </c>
      <c r="AA2" s="17" t="s">
        <v>1116</v>
      </c>
      <c r="AB2" s="17" t="s">
        <v>2125</v>
      </c>
      <c r="AC2" s="17" t="s">
        <v>1120</v>
      </c>
      <c r="AD2" s="17" t="s">
        <v>2127</v>
      </c>
      <c r="AE2" s="17"/>
      <c r="AF2" s="17" t="s">
        <v>1124</v>
      </c>
      <c r="AG2" s="17" t="s">
        <v>2129</v>
      </c>
      <c r="AH2" s="17" t="s">
        <v>1128</v>
      </c>
      <c r="AI2" s="17" t="s">
        <v>212</v>
      </c>
      <c r="AJ2" s="17" t="s">
        <v>214</v>
      </c>
      <c r="AK2" s="17" t="s">
        <v>799</v>
      </c>
      <c r="AL2" s="17" t="s">
        <v>1135</v>
      </c>
      <c r="AM2" s="17" t="s">
        <v>264</v>
      </c>
      <c r="AN2" s="17" t="s">
        <v>219</v>
      </c>
      <c r="AO2" s="17" t="s">
        <v>221</v>
      </c>
      <c r="AP2" s="17"/>
      <c r="AQ2" s="17" t="s">
        <v>226</v>
      </c>
      <c r="AR2" s="17" t="s">
        <v>232</v>
      </c>
      <c r="AS2" s="17" t="s">
        <v>1143</v>
      </c>
      <c r="AT2" s="17" t="s">
        <v>231</v>
      </c>
      <c r="AU2" s="17" t="s">
        <v>233</v>
      </c>
      <c r="AV2" s="17" t="s">
        <v>238</v>
      </c>
      <c r="AW2" s="17" t="s">
        <v>467</v>
      </c>
      <c r="AX2" s="17" t="s">
        <v>1149</v>
      </c>
      <c r="AY2" s="17" t="s">
        <v>1153</v>
      </c>
      <c r="AZ2" s="17"/>
      <c r="BA2" s="2" t="s">
        <v>245</v>
      </c>
      <c r="BB2" s="17" t="s">
        <v>2135</v>
      </c>
      <c r="BC2" s="17" t="s">
        <v>1157</v>
      </c>
      <c r="BD2" s="17" t="s">
        <v>252</v>
      </c>
      <c r="BE2" s="17" t="s">
        <v>2137</v>
      </c>
      <c r="BF2" s="17" t="s">
        <v>1162</v>
      </c>
      <c r="BG2" s="17"/>
      <c r="BH2" s="17" t="s">
        <v>799</v>
      </c>
      <c r="BI2" s="17" t="s">
        <v>1167</v>
      </c>
      <c r="BJ2" s="17" t="s">
        <v>264</v>
      </c>
      <c r="BK2" s="17" t="s">
        <v>2140</v>
      </c>
      <c r="BL2" s="17" t="s">
        <v>1171</v>
      </c>
      <c r="BM2" s="17" t="s">
        <v>2142</v>
      </c>
      <c r="BN2" s="17" t="s">
        <v>1175</v>
      </c>
      <c r="BO2" s="17" t="s">
        <v>467</v>
      </c>
      <c r="BP2" s="17" t="s">
        <v>1179</v>
      </c>
      <c r="BQ2" s="17"/>
      <c r="BR2" s="17"/>
      <c r="BS2" s="17" t="s">
        <v>2145</v>
      </c>
      <c r="BT2" s="2" t="s">
        <v>1183</v>
      </c>
      <c r="BU2" s="17"/>
      <c r="BV2" s="17" t="s">
        <v>2147</v>
      </c>
      <c r="BW2" s="17" t="s">
        <v>1187</v>
      </c>
      <c r="BX2" s="17" t="s">
        <v>625</v>
      </c>
      <c r="BY2" s="17" t="s">
        <v>1191</v>
      </c>
      <c r="BZ2" s="17" t="s">
        <v>467</v>
      </c>
      <c r="CA2" s="17" t="s">
        <v>231</v>
      </c>
      <c r="CB2" s="17" t="s">
        <v>231</v>
      </c>
      <c r="CC2" s="17" t="s">
        <v>1195</v>
      </c>
      <c r="CD2" s="17" t="s">
        <v>2151</v>
      </c>
      <c r="CE2" s="17" t="s">
        <v>1199</v>
      </c>
      <c r="CF2" s="17" t="s">
        <v>231</v>
      </c>
      <c r="CG2" s="17" t="s">
        <v>1203</v>
      </c>
      <c r="CH2" s="17" t="s">
        <v>467</v>
      </c>
      <c r="CI2" s="17" t="s">
        <v>1207</v>
      </c>
      <c r="CJ2" s="17"/>
      <c r="CK2" s="17" t="s">
        <v>1211</v>
      </c>
      <c r="CL2" s="17"/>
      <c r="CM2" s="17" t="s">
        <v>467</v>
      </c>
      <c r="CN2" s="17" t="s">
        <v>1215</v>
      </c>
      <c r="CO2" s="17" t="s">
        <v>264</v>
      </c>
      <c r="CP2" s="17" t="s">
        <v>1219</v>
      </c>
      <c r="CQ2" s="17"/>
      <c r="CR2" s="17" t="s">
        <v>2158</v>
      </c>
      <c r="CS2" s="17" t="s">
        <v>1223</v>
      </c>
      <c r="CT2" s="17" t="s">
        <v>257</v>
      </c>
      <c r="CU2" s="17" t="s">
        <v>259</v>
      </c>
      <c r="CV2" s="17" t="s">
        <v>263</v>
      </c>
      <c r="CW2" s="17" t="s">
        <v>265</v>
      </c>
      <c r="CX2" s="17" t="s">
        <v>2160</v>
      </c>
      <c r="CY2" s="17" t="s">
        <v>1231</v>
      </c>
      <c r="CZ2" s="17" t="s">
        <v>271</v>
      </c>
      <c r="DA2" s="17" t="s">
        <v>273</v>
      </c>
      <c r="DB2" s="17" t="s">
        <v>799</v>
      </c>
      <c r="DC2" s="17" t="s">
        <v>1236</v>
      </c>
      <c r="DD2" s="17" t="s">
        <v>278</v>
      </c>
      <c r="DE2" s="17" t="s">
        <v>280</v>
      </c>
      <c r="DF2" s="17" t="s">
        <v>286</v>
      </c>
      <c r="DG2" s="17" t="s">
        <v>231</v>
      </c>
      <c r="DH2" s="17" t="s">
        <v>232</v>
      </c>
      <c r="DI2" s="17" t="s">
        <v>232</v>
      </c>
      <c r="DJ2" s="17" t="s">
        <v>288</v>
      </c>
      <c r="DK2" s="17" t="s">
        <v>298</v>
      </c>
      <c r="DL2" s="17" t="s">
        <v>300</v>
      </c>
      <c r="DM2" s="17" t="s">
        <v>306</v>
      </c>
      <c r="DN2" s="17"/>
      <c r="DO2" s="17"/>
      <c r="DP2" s="17"/>
      <c r="DQ2" s="17" t="s">
        <v>232</v>
      </c>
      <c r="DR2" s="17" t="s">
        <v>1246</v>
      </c>
      <c r="DS2" s="17" t="s">
        <v>2166</v>
      </c>
      <c r="DT2" s="2" t="s">
        <v>1250</v>
      </c>
      <c r="DU2" s="2" t="s">
        <v>311</v>
      </c>
      <c r="DV2" s="17"/>
      <c r="DW2" s="17" t="s">
        <v>232</v>
      </c>
      <c r="DX2" s="17" t="s">
        <v>1254</v>
      </c>
      <c r="DY2" s="17" t="s">
        <v>317</v>
      </c>
      <c r="DZ2" s="2" t="s">
        <v>319</v>
      </c>
      <c r="EA2" s="2" t="s">
        <v>323</v>
      </c>
      <c r="EB2" s="17"/>
      <c r="EC2" s="17" t="s">
        <v>232</v>
      </c>
      <c r="ED2" s="17" t="s">
        <v>1260</v>
      </c>
      <c r="EE2" s="17" t="s">
        <v>330</v>
      </c>
      <c r="EF2" s="2" t="s">
        <v>332</v>
      </c>
      <c r="EG2" s="2" t="s">
        <v>336</v>
      </c>
      <c r="EH2" s="17"/>
      <c r="EI2" s="17"/>
      <c r="EJ2" s="17"/>
      <c r="EK2" s="17"/>
      <c r="EL2" s="17"/>
      <c r="EM2" s="17"/>
      <c r="EN2" s="17" t="s">
        <v>2170</v>
      </c>
      <c r="EO2" s="2" t="s">
        <v>1266</v>
      </c>
      <c r="EP2" s="17" t="s">
        <v>2172</v>
      </c>
      <c r="EQ2" s="17" t="s">
        <v>1270</v>
      </c>
      <c r="ER2" s="17" t="s">
        <v>344</v>
      </c>
      <c r="ES2" s="17" t="s">
        <v>1274</v>
      </c>
      <c r="ET2" s="17" t="s">
        <v>344</v>
      </c>
      <c r="EU2" s="17" t="s">
        <v>1278</v>
      </c>
      <c r="EV2" s="17" t="s">
        <v>344</v>
      </c>
      <c r="EW2" s="17" t="s">
        <v>1282</v>
      </c>
      <c r="EX2" s="17" t="s">
        <v>343</v>
      </c>
      <c r="EY2" s="17" t="s">
        <v>345</v>
      </c>
      <c r="EZ2" s="17" t="s">
        <v>231</v>
      </c>
      <c r="FA2" s="17" t="s">
        <v>350</v>
      </c>
      <c r="FB2" s="17" t="s">
        <v>231</v>
      </c>
      <c r="FC2" s="17" t="s">
        <v>232</v>
      </c>
      <c r="FD2" s="17" t="s">
        <v>231</v>
      </c>
      <c r="FE2" s="17" t="s">
        <v>231</v>
      </c>
      <c r="FF2" s="17" t="s">
        <v>352</v>
      </c>
      <c r="FG2" s="17" t="s">
        <v>231</v>
      </c>
      <c r="FH2" s="17" t="s">
        <v>231</v>
      </c>
      <c r="FI2" s="17"/>
      <c r="FJ2" s="17" t="s">
        <v>2178</v>
      </c>
    </row>
    <row r="3" customFormat="false" ht="15" hidden="false" customHeight="false" outlineLevel="0" collapsed="false">
      <c r="A3" s="17" t="s">
        <v>2179</v>
      </c>
      <c r="B3" s="17" t="s">
        <v>2180</v>
      </c>
      <c r="C3" s="17" t="s">
        <v>2181</v>
      </c>
      <c r="D3" s="17" t="s">
        <v>2359</v>
      </c>
      <c r="E3" s="17"/>
      <c r="F3" s="17" t="s">
        <v>2181</v>
      </c>
      <c r="G3" s="17" t="s">
        <v>2180</v>
      </c>
      <c r="H3" s="17" t="s">
        <v>2182</v>
      </c>
      <c r="I3" s="17" t="s">
        <v>2183</v>
      </c>
      <c r="J3" s="17" t="s">
        <v>2184</v>
      </c>
      <c r="K3" s="17" t="s">
        <v>2185</v>
      </c>
      <c r="L3" s="17" t="s">
        <v>2186</v>
      </c>
      <c r="M3" s="17" t="s">
        <v>2187</v>
      </c>
      <c r="N3" s="17" t="s">
        <v>2118</v>
      </c>
      <c r="O3" s="17" t="s">
        <v>361</v>
      </c>
      <c r="P3" s="17" t="s">
        <v>367</v>
      </c>
      <c r="Q3" s="17" t="s">
        <v>231</v>
      </c>
      <c r="R3" s="17" t="s">
        <v>186</v>
      </c>
      <c r="S3" s="17" t="s">
        <v>1288</v>
      </c>
      <c r="T3" s="17" t="s">
        <v>2121</v>
      </c>
      <c r="U3" s="17" t="s">
        <v>1290</v>
      </c>
      <c r="V3" s="17" t="s">
        <v>371</v>
      </c>
      <c r="W3" s="17" t="s">
        <v>373</v>
      </c>
      <c r="X3" s="17" t="s">
        <v>378</v>
      </c>
      <c r="Y3" s="17" t="s">
        <v>380</v>
      </c>
      <c r="Z3" s="17" t="s">
        <v>385</v>
      </c>
      <c r="AA3" s="17" t="s">
        <v>387</v>
      </c>
      <c r="AB3" s="17" t="s">
        <v>393</v>
      </c>
      <c r="AC3" s="17" t="s">
        <v>395</v>
      </c>
      <c r="AD3" s="17" t="s">
        <v>400</v>
      </c>
      <c r="AE3" s="17" t="s">
        <v>407</v>
      </c>
      <c r="AF3" s="17" t="s">
        <v>402</v>
      </c>
      <c r="AG3" s="17" t="s">
        <v>2129</v>
      </c>
      <c r="AH3" s="17" t="s">
        <v>1294</v>
      </c>
      <c r="AI3" s="17" t="s">
        <v>411</v>
      </c>
      <c r="AJ3" s="17" t="s">
        <v>412</v>
      </c>
      <c r="AK3" s="17" t="s">
        <v>799</v>
      </c>
      <c r="AL3" s="17" t="s">
        <v>1297</v>
      </c>
      <c r="AM3" s="17" t="s">
        <v>264</v>
      </c>
      <c r="AN3" s="17" t="s">
        <v>220</v>
      </c>
      <c r="AO3" s="17" t="s">
        <v>1299</v>
      </c>
      <c r="AP3" s="17"/>
      <c r="AQ3" s="17" t="s">
        <v>416</v>
      </c>
      <c r="AR3" s="17" t="s">
        <v>232</v>
      </c>
      <c r="AS3" s="17" t="s">
        <v>1301</v>
      </c>
      <c r="AT3" s="17" t="s">
        <v>232</v>
      </c>
      <c r="AU3" s="17" t="s">
        <v>1303</v>
      </c>
      <c r="AV3" s="17" t="s">
        <v>421</v>
      </c>
      <c r="AW3" s="17" t="s">
        <v>467</v>
      </c>
      <c r="AX3" s="17" t="s">
        <v>1305</v>
      </c>
      <c r="AY3" s="17" t="s">
        <v>1307</v>
      </c>
      <c r="AZ3" s="17"/>
      <c r="BA3" s="17" t="s">
        <v>424</v>
      </c>
      <c r="BB3" s="17" t="s">
        <v>2197</v>
      </c>
      <c r="BC3" s="17" t="s">
        <v>1309</v>
      </c>
      <c r="BD3" s="17" t="s">
        <v>428</v>
      </c>
      <c r="BE3" s="17" t="s">
        <v>2137</v>
      </c>
      <c r="BF3" s="17" t="s">
        <v>1312</v>
      </c>
      <c r="BG3" s="17"/>
      <c r="BH3" s="17" t="s">
        <v>799</v>
      </c>
      <c r="BI3" s="17" t="s">
        <v>1314</v>
      </c>
      <c r="BJ3" s="17" t="s">
        <v>264</v>
      </c>
      <c r="BK3" s="17" t="s">
        <v>2140</v>
      </c>
      <c r="BL3" s="17" t="s">
        <v>1317</v>
      </c>
      <c r="BM3" s="17" t="s">
        <v>2142</v>
      </c>
      <c r="BN3" s="17" t="s">
        <v>1319</v>
      </c>
      <c r="BO3" s="17" t="s">
        <v>467</v>
      </c>
      <c r="BP3" s="17" t="s">
        <v>1322</v>
      </c>
      <c r="BQ3" s="17"/>
      <c r="BR3" s="17"/>
      <c r="BS3" s="17" t="s">
        <v>433</v>
      </c>
      <c r="BT3" s="17" t="s">
        <v>435</v>
      </c>
      <c r="BU3" s="17"/>
      <c r="BV3" s="17" t="s">
        <v>2204</v>
      </c>
      <c r="BW3" s="17" t="s">
        <v>1324</v>
      </c>
      <c r="BX3" s="17" t="s">
        <v>446</v>
      </c>
      <c r="BY3" s="17" t="s">
        <v>448</v>
      </c>
      <c r="BZ3" s="17" t="s">
        <v>2206</v>
      </c>
      <c r="CA3" s="17" t="s">
        <v>232</v>
      </c>
      <c r="CB3" s="17" t="s">
        <v>232</v>
      </c>
      <c r="CC3" s="17" t="s">
        <v>1326</v>
      </c>
      <c r="CD3" s="17" t="s">
        <v>2208</v>
      </c>
      <c r="CE3" s="17" t="s">
        <v>1328</v>
      </c>
      <c r="CF3" s="17" t="s">
        <v>231</v>
      </c>
      <c r="CG3" s="17" t="s">
        <v>1330</v>
      </c>
      <c r="CH3" s="17" t="s">
        <v>467</v>
      </c>
      <c r="CI3" s="17" t="s">
        <v>1333</v>
      </c>
      <c r="CJ3" s="17"/>
      <c r="CK3" s="17" t="s">
        <v>1336</v>
      </c>
      <c r="CL3" s="17"/>
      <c r="CM3" s="17" t="s">
        <v>467</v>
      </c>
      <c r="CN3" s="17" t="s">
        <v>1338</v>
      </c>
      <c r="CO3" s="17" t="s">
        <v>264</v>
      </c>
      <c r="CP3" s="17" t="s">
        <v>1341</v>
      </c>
      <c r="CQ3" s="17"/>
      <c r="CR3" s="17" t="s">
        <v>453</v>
      </c>
      <c r="CS3" s="17" t="s">
        <v>455</v>
      </c>
      <c r="CT3" s="17" t="s">
        <v>258</v>
      </c>
      <c r="CU3" s="17" t="s">
        <v>1343</v>
      </c>
      <c r="CV3" s="17" t="s">
        <v>461</v>
      </c>
      <c r="CW3" s="17" t="s">
        <v>462</v>
      </c>
      <c r="CX3" s="17" t="s">
        <v>467</v>
      </c>
      <c r="CY3" s="17" t="s">
        <v>469</v>
      </c>
      <c r="CZ3" s="17" t="s">
        <v>1040</v>
      </c>
      <c r="DA3" s="17" t="s">
        <v>1345</v>
      </c>
      <c r="DB3" s="17" t="s">
        <v>799</v>
      </c>
      <c r="DC3" s="17" t="s">
        <v>1347</v>
      </c>
      <c r="DD3" s="17" t="s">
        <v>474</v>
      </c>
      <c r="DE3" s="17" t="s">
        <v>476</v>
      </c>
      <c r="DF3" s="17" t="s">
        <v>264</v>
      </c>
      <c r="DG3" s="17" t="s">
        <v>231</v>
      </c>
      <c r="DH3" s="17" t="s">
        <v>231</v>
      </c>
      <c r="DI3" s="17" t="s">
        <v>231</v>
      </c>
      <c r="DJ3" s="17" t="s">
        <v>1349</v>
      </c>
      <c r="DK3" s="17" t="s">
        <v>480</v>
      </c>
      <c r="DL3" s="17" t="s">
        <v>482</v>
      </c>
      <c r="DM3" s="17" t="s">
        <v>487</v>
      </c>
      <c r="DN3" s="17"/>
      <c r="DO3" s="17"/>
      <c r="DP3" s="17"/>
      <c r="DQ3" s="17" t="s">
        <v>232</v>
      </c>
      <c r="DR3" s="17" t="s">
        <v>1352</v>
      </c>
      <c r="DS3" s="17" t="s">
        <v>492</v>
      </c>
      <c r="DT3" s="17" t="s">
        <v>494</v>
      </c>
      <c r="DU3" s="17" t="s">
        <v>498</v>
      </c>
      <c r="DV3" s="17"/>
      <c r="DW3" s="17" t="s">
        <v>232</v>
      </c>
      <c r="DX3" s="17" t="s">
        <v>1354</v>
      </c>
      <c r="DY3" s="17" t="s">
        <v>503</v>
      </c>
      <c r="DZ3" s="17" t="s">
        <v>505</v>
      </c>
      <c r="EA3" s="17" t="s">
        <v>510</v>
      </c>
      <c r="EB3" s="17"/>
      <c r="EC3" s="17" t="s">
        <v>232</v>
      </c>
      <c r="ED3" s="17" t="s">
        <v>1356</v>
      </c>
      <c r="EE3" s="17" t="s">
        <v>515</v>
      </c>
      <c r="EF3" s="17" t="s">
        <v>517</v>
      </c>
      <c r="EG3" s="17" t="s">
        <v>522</v>
      </c>
      <c r="EH3" s="17"/>
      <c r="EI3" s="17"/>
      <c r="EJ3" s="17"/>
      <c r="EK3" s="17"/>
      <c r="EL3" s="17"/>
      <c r="EM3" s="17"/>
      <c r="EN3" s="17" t="s">
        <v>923</v>
      </c>
      <c r="EO3" s="17" t="s">
        <v>1358</v>
      </c>
      <c r="EP3" s="17" t="s">
        <v>2172</v>
      </c>
      <c r="EQ3" s="17" t="s">
        <v>1360</v>
      </c>
      <c r="ER3" s="17" t="s">
        <v>343</v>
      </c>
      <c r="ES3" s="17" t="s">
        <v>527</v>
      </c>
      <c r="ET3" s="17" t="s">
        <v>343</v>
      </c>
      <c r="EU3" s="2" t="s">
        <v>1362</v>
      </c>
      <c r="EV3" s="17" t="s">
        <v>343</v>
      </c>
      <c r="EW3" s="17" t="s">
        <v>531</v>
      </c>
      <c r="EX3" s="17" t="s">
        <v>343</v>
      </c>
      <c r="EY3" s="17" t="s">
        <v>535</v>
      </c>
      <c r="EZ3" s="17" t="s">
        <v>231</v>
      </c>
      <c r="FA3" s="17" t="s">
        <v>351</v>
      </c>
      <c r="FB3" s="17" t="s">
        <v>231</v>
      </c>
      <c r="FC3" s="17" t="s">
        <v>231</v>
      </c>
      <c r="FD3" s="17" t="s">
        <v>231</v>
      </c>
      <c r="FE3" s="17" t="s">
        <v>231</v>
      </c>
      <c r="FF3" s="2" t="s">
        <v>1364</v>
      </c>
      <c r="FG3" s="17" t="s">
        <v>231</v>
      </c>
      <c r="FH3" s="17" t="s">
        <v>231</v>
      </c>
      <c r="FI3" s="17"/>
      <c r="FJ3" s="17" t="s">
        <v>2178</v>
      </c>
    </row>
    <row r="4" customFormat="false" ht="15" hidden="false" customHeight="false" outlineLevel="0" collapsed="false">
      <c r="A4" s="17" t="s">
        <v>2227</v>
      </c>
      <c r="B4" s="17" t="s">
        <v>2228</v>
      </c>
      <c r="C4" s="17" t="s">
        <v>2229</v>
      </c>
      <c r="D4" s="17" t="s">
        <v>2359</v>
      </c>
      <c r="E4" s="17"/>
      <c r="F4" s="17" t="s">
        <v>2229</v>
      </c>
      <c r="G4" s="17" t="s">
        <v>2228</v>
      </c>
      <c r="H4" s="17" t="s">
        <v>2230</v>
      </c>
      <c r="I4" s="17" t="s">
        <v>2231</v>
      </c>
      <c r="J4" s="17" t="s">
        <v>2232</v>
      </c>
      <c r="K4" s="17" t="s">
        <v>2115</v>
      </c>
      <c r="L4" s="17" t="s">
        <v>2233</v>
      </c>
      <c r="M4" s="17" t="s">
        <v>2117</v>
      </c>
      <c r="N4" s="17" t="s">
        <v>2118</v>
      </c>
      <c r="O4" s="17" t="s">
        <v>264</v>
      </c>
      <c r="P4" s="17"/>
      <c r="Q4" s="17" t="s">
        <v>231</v>
      </c>
      <c r="R4" s="17" t="s">
        <v>185</v>
      </c>
      <c r="S4" s="17" t="s">
        <v>1366</v>
      </c>
      <c r="T4" s="17" t="s">
        <v>2121</v>
      </c>
      <c r="U4" s="17" t="s">
        <v>1368</v>
      </c>
      <c r="V4" s="17" t="s">
        <v>539</v>
      </c>
      <c r="W4" s="17" t="s">
        <v>541</v>
      </c>
      <c r="X4" s="17" t="s">
        <v>545</v>
      </c>
      <c r="Y4" s="17" t="s">
        <v>547</v>
      </c>
      <c r="Z4" s="17" t="s">
        <v>264</v>
      </c>
      <c r="AA4" s="17" t="s">
        <v>1370</v>
      </c>
      <c r="AB4" s="17" t="s">
        <v>2125</v>
      </c>
      <c r="AC4" s="17" t="s">
        <v>1372</v>
      </c>
      <c r="AD4" s="17" t="s">
        <v>2238</v>
      </c>
      <c r="AE4" s="17"/>
      <c r="AF4" s="17" t="s">
        <v>1374</v>
      </c>
      <c r="AG4" s="17" t="s">
        <v>2129</v>
      </c>
      <c r="AH4" s="17" t="s">
        <v>1376</v>
      </c>
      <c r="AI4" s="17" t="s">
        <v>212</v>
      </c>
      <c r="AJ4" s="17" t="s">
        <v>550</v>
      </c>
      <c r="AK4" s="17" t="s">
        <v>799</v>
      </c>
      <c r="AL4" s="17" t="s">
        <v>1378</v>
      </c>
      <c r="AM4" s="17" t="s">
        <v>264</v>
      </c>
      <c r="AN4" s="17" t="s">
        <v>220</v>
      </c>
      <c r="AO4" s="17" t="s">
        <v>1380</v>
      </c>
      <c r="AP4" s="17"/>
      <c r="AQ4" s="17" t="s">
        <v>554</v>
      </c>
      <c r="AR4" s="17" t="s">
        <v>232</v>
      </c>
      <c r="AS4" s="17" t="s">
        <v>1382</v>
      </c>
      <c r="AT4" s="17" t="s">
        <v>232</v>
      </c>
      <c r="AU4" s="17" t="s">
        <v>1384</v>
      </c>
      <c r="AV4" s="17" t="s">
        <v>558</v>
      </c>
      <c r="AW4" s="17" t="s">
        <v>467</v>
      </c>
      <c r="AX4" s="17" t="s">
        <v>1386</v>
      </c>
      <c r="AY4" s="17" t="s">
        <v>1388</v>
      </c>
      <c r="AZ4" s="17"/>
      <c r="BA4" s="17" t="s">
        <v>572</v>
      </c>
      <c r="BB4" s="17" t="s">
        <v>577</v>
      </c>
      <c r="BC4" s="17" t="s">
        <v>579</v>
      </c>
      <c r="BD4" s="17" t="s">
        <v>583</v>
      </c>
      <c r="BE4" s="17" t="s">
        <v>588</v>
      </c>
      <c r="BF4" s="17" t="s">
        <v>590</v>
      </c>
      <c r="BG4" s="17"/>
      <c r="BH4" s="17" t="s">
        <v>596</v>
      </c>
      <c r="BI4" s="17" t="s">
        <v>598</v>
      </c>
      <c r="BJ4" s="17" t="s">
        <v>603</v>
      </c>
      <c r="BK4" s="17" t="s">
        <v>609</v>
      </c>
      <c r="BL4" s="17" t="s">
        <v>610</v>
      </c>
      <c r="BM4" s="17" t="s">
        <v>2142</v>
      </c>
      <c r="BN4" s="17" t="s">
        <v>1390</v>
      </c>
      <c r="BO4" s="17" t="s">
        <v>467</v>
      </c>
      <c r="BP4" s="17" t="s">
        <v>1392</v>
      </c>
      <c r="BQ4" s="17"/>
      <c r="BR4" s="17"/>
      <c r="BS4" s="17" t="s">
        <v>614</v>
      </c>
      <c r="BT4" s="17" t="s">
        <v>616</v>
      </c>
      <c r="BU4" s="17" t="s">
        <v>620</v>
      </c>
      <c r="BV4" s="17" t="s">
        <v>2147</v>
      </c>
      <c r="BW4" s="17" t="s">
        <v>1394</v>
      </c>
      <c r="BX4" s="17" t="s">
        <v>625</v>
      </c>
      <c r="BY4" s="17" t="s">
        <v>627</v>
      </c>
      <c r="BZ4" s="17" t="s">
        <v>2206</v>
      </c>
      <c r="CA4" s="17" t="s">
        <v>232</v>
      </c>
      <c r="CB4" s="17" t="s">
        <v>232</v>
      </c>
      <c r="CC4" s="17" t="s">
        <v>632</v>
      </c>
      <c r="CD4" s="17" t="s">
        <v>2249</v>
      </c>
      <c r="CE4" s="17" t="s">
        <v>1396</v>
      </c>
      <c r="CF4" s="17" t="s">
        <v>232</v>
      </c>
      <c r="CG4" s="17" t="s">
        <v>637</v>
      </c>
      <c r="CH4" s="17" t="s">
        <v>643</v>
      </c>
      <c r="CI4" s="17" t="s">
        <v>644</v>
      </c>
      <c r="CJ4" s="17" t="s">
        <v>563</v>
      </c>
      <c r="CK4" s="17" t="s">
        <v>650</v>
      </c>
      <c r="CL4" s="17" t="s">
        <v>654</v>
      </c>
      <c r="CM4" s="17" t="s">
        <v>659</v>
      </c>
      <c r="CN4" s="17" t="s">
        <v>661</v>
      </c>
      <c r="CO4" s="17" t="s">
        <v>264</v>
      </c>
      <c r="CP4" s="17" t="s">
        <v>1398</v>
      </c>
      <c r="CQ4" s="17" t="s">
        <v>666</v>
      </c>
      <c r="CR4" s="17" t="s">
        <v>2252</v>
      </c>
      <c r="CS4" s="17" t="s">
        <v>1400</v>
      </c>
      <c r="CT4" s="17" t="s">
        <v>859</v>
      </c>
      <c r="CU4" s="17" t="s">
        <v>1402</v>
      </c>
      <c r="CV4" s="17" t="s">
        <v>669</v>
      </c>
      <c r="CW4" s="17" t="s">
        <v>671</v>
      </c>
      <c r="CX4" s="17" t="s">
        <v>2255</v>
      </c>
      <c r="CY4" s="17" t="s">
        <v>1404</v>
      </c>
      <c r="CZ4" s="17" t="s">
        <v>271</v>
      </c>
      <c r="DA4" s="17" t="s">
        <v>677</v>
      </c>
      <c r="DB4" s="17" t="s">
        <v>799</v>
      </c>
      <c r="DC4" s="17" t="s">
        <v>1406</v>
      </c>
      <c r="DD4" s="17" t="s">
        <v>681</v>
      </c>
      <c r="DE4" s="17" t="s">
        <v>683</v>
      </c>
      <c r="DF4" s="17" t="s">
        <v>264</v>
      </c>
      <c r="DG4" s="17" t="s">
        <v>231</v>
      </c>
      <c r="DH4" s="17" t="s">
        <v>231</v>
      </c>
      <c r="DI4" s="17" t="s">
        <v>231</v>
      </c>
      <c r="DJ4" s="17" t="s">
        <v>1408</v>
      </c>
      <c r="DK4" s="17" t="s">
        <v>687</v>
      </c>
      <c r="DL4" s="17" t="s">
        <v>689</v>
      </c>
      <c r="DM4" s="17" t="s">
        <v>694</v>
      </c>
      <c r="DN4" s="17"/>
      <c r="DO4" s="17"/>
      <c r="DP4" s="17"/>
      <c r="DQ4" s="17" t="s">
        <v>232</v>
      </c>
      <c r="DR4" s="17" t="s">
        <v>1410</v>
      </c>
      <c r="DS4" s="17" t="s">
        <v>698</v>
      </c>
      <c r="DT4" s="17" t="s">
        <v>700</v>
      </c>
      <c r="DU4" s="17" t="s">
        <v>706</v>
      </c>
      <c r="DV4" s="17"/>
      <c r="DW4" s="17" t="s">
        <v>232</v>
      </c>
      <c r="DX4" s="17" t="s">
        <v>1412</v>
      </c>
      <c r="DY4" s="17" t="s">
        <v>710</v>
      </c>
      <c r="DZ4" s="17" t="s">
        <v>712</v>
      </c>
      <c r="EA4" s="17" t="s">
        <v>715</v>
      </c>
      <c r="EB4" s="17"/>
      <c r="EC4" s="17" t="s">
        <v>232</v>
      </c>
      <c r="ED4" s="17" t="s">
        <v>1414</v>
      </c>
      <c r="EE4" s="17" t="s">
        <v>330</v>
      </c>
      <c r="EF4" s="17" t="s">
        <v>721</v>
      </c>
      <c r="EG4" s="17" t="s">
        <v>724</v>
      </c>
      <c r="EH4" s="17"/>
      <c r="EI4" s="17"/>
      <c r="EJ4" s="17"/>
      <c r="EK4" s="17"/>
      <c r="EL4" s="17"/>
      <c r="EM4" s="17"/>
      <c r="EN4" s="17" t="s">
        <v>730</v>
      </c>
      <c r="EO4" s="17" t="s">
        <v>732</v>
      </c>
      <c r="EP4" s="17" t="s">
        <v>2262</v>
      </c>
      <c r="EQ4" s="17" t="s">
        <v>1416</v>
      </c>
      <c r="ER4" s="17" t="s">
        <v>343</v>
      </c>
      <c r="ES4" s="17" t="s">
        <v>1418</v>
      </c>
      <c r="ET4" s="17" t="s">
        <v>343</v>
      </c>
      <c r="EU4" s="2" t="s">
        <v>739</v>
      </c>
      <c r="EV4" s="17" t="s">
        <v>343</v>
      </c>
      <c r="EW4" s="17" t="s">
        <v>742</v>
      </c>
      <c r="EX4" s="17" t="s">
        <v>343</v>
      </c>
      <c r="EY4" s="17" t="s">
        <v>745</v>
      </c>
      <c r="EZ4" s="17" t="s">
        <v>231</v>
      </c>
      <c r="FA4" s="17" t="s">
        <v>351</v>
      </c>
      <c r="FB4" s="17" t="s">
        <v>232</v>
      </c>
      <c r="FC4" s="17" t="s">
        <v>231</v>
      </c>
      <c r="FD4" s="17" t="s">
        <v>231</v>
      </c>
      <c r="FE4" s="17" t="s">
        <v>231</v>
      </c>
      <c r="FF4" s="2" t="s">
        <v>1420</v>
      </c>
      <c r="FG4" s="17" t="s">
        <v>231</v>
      </c>
      <c r="FH4" s="17" t="s">
        <v>231</v>
      </c>
      <c r="FI4" s="17"/>
      <c r="FJ4" s="17" t="s">
        <v>2178</v>
      </c>
    </row>
    <row r="5" customFormat="false" ht="15" hidden="false" customHeight="false" outlineLevel="0" collapsed="false">
      <c r="A5" s="17" t="s">
        <v>2266</v>
      </c>
      <c r="B5" s="17" t="s">
        <v>2267</v>
      </c>
      <c r="C5" s="17" t="s">
        <v>2268</v>
      </c>
      <c r="D5" s="17" t="s">
        <v>2359</v>
      </c>
      <c r="E5" s="17"/>
      <c r="F5" s="17" t="s">
        <v>2268</v>
      </c>
      <c r="G5" s="17" t="s">
        <v>2267</v>
      </c>
      <c r="H5" s="17" t="s">
        <v>2269</v>
      </c>
      <c r="I5" s="17" t="s">
        <v>754</v>
      </c>
      <c r="J5" s="17" t="s">
        <v>2232</v>
      </c>
      <c r="K5" s="17" t="s">
        <v>2115</v>
      </c>
      <c r="L5" s="17" t="s">
        <v>2270</v>
      </c>
      <c r="M5" s="17" t="s">
        <v>2271</v>
      </c>
      <c r="N5" s="17" t="s">
        <v>2118</v>
      </c>
      <c r="O5" s="17" t="s">
        <v>758</v>
      </c>
      <c r="P5" s="17" t="s">
        <v>762</v>
      </c>
      <c r="Q5" s="17" t="s">
        <v>231</v>
      </c>
      <c r="R5" s="17" t="s">
        <v>185</v>
      </c>
      <c r="S5" s="17" t="s">
        <v>1422</v>
      </c>
      <c r="T5" s="17" t="s">
        <v>2121</v>
      </c>
      <c r="U5" s="17" t="s">
        <v>1424</v>
      </c>
      <c r="V5" s="17" t="s">
        <v>766</v>
      </c>
      <c r="W5" s="17" t="s">
        <v>767</v>
      </c>
      <c r="X5" s="17" t="s">
        <v>771</v>
      </c>
      <c r="Y5" s="17" t="s">
        <v>773</v>
      </c>
      <c r="Z5" s="17" t="s">
        <v>264</v>
      </c>
      <c r="AA5" s="17" t="s">
        <v>1426</v>
      </c>
      <c r="AB5" s="17" t="s">
        <v>2275</v>
      </c>
      <c r="AC5" s="17" t="s">
        <v>1428</v>
      </c>
      <c r="AD5" s="17" t="s">
        <v>2277</v>
      </c>
      <c r="AE5" s="17"/>
      <c r="AF5" s="17" t="s">
        <v>1430</v>
      </c>
      <c r="AG5" s="17" t="s">
        <v>2279</v>
      </c>
      <c r="AH5" s="17" t="s">
        <v>1432</v>
      </c>
      <c r="AI5" s="17"/>
      <c r="AJ5" s="17" t="s">
        <v>1434</v>
      </c>
      <c r="AK5" s="17" t="s">
        <v>799</v>
      </c>
      <c r="AL5" s="17" t="s">
        <v>1436</v>
      </c>
      <c r="AM5" s="17" t="s">
        <v>264</v>
      </c>
      <c r="AN5" s="17" t="s">
        <v>220</v>
      </c>
      <c r="AO5" s="17" t="s">
        <v>1438</v>
      </c>
      <c r="AP5" s="17" t="s">
        <v>220</v>
      </c>
      <c r="AQ5" s="17" t="s">
        <v>1440</v>
      </c>
      <c r="AR5" s="17" t="s">
        <v>232</v>
      </c>
      <c r="AS5" s="17" t="s">
        <v>1442</v>
      </c>
      <c r="AT5" s="17" t="s">
        <v>231</v>
      </c>
      <c r="AU5" s="17" t="s">
        <v>776</v>
      </c>
      <c r="AV5" s="17" t="s">
        <v>780</v>
      </c>
      <c r="AW5" s="17" t="s">
        <v>467</v>
      </c>
      <c r="AX5" s="17" t="s">
        <v>1444</v>
      </c>
      <c r="AY5" s="17" t="s">
        <v>1446</v>
      </c>
      <c r="AZ5" s="17"/>
      <c r="BA5" s="17" t="s">
        <v>784</v>
      </c>
      <c r="BB5" s="17" t="s">
        <v>788</v>
      </c>
      <c r="BC5" s="17" t="s">
        <v>790</v>
      </c>
      <c r="BD5" s="17" t="s">
        <v>794</v>
      </c>
      <c r="BE5" s="17" t="s">
        <v>2288</v>
      </c>
      <c r="BF5" s="17" t="s">
        <v>1448</v>
      </c>
      <c r="BG5" s="17"/>
      <c r="BH5" s="17" t="s">
        <v>799</v>
      </c>
      <c r="BI5" s="17" t="s">
        <v>800</v>
      </c>
      <c r="BJ5" s="17" t="s">
        <v>264</v>
      </c>
      <c r="BK5" s="17" t="s">
        <v>2140</v>
      </c>
      <c r="BL5" s="17" t="s">
        <v>1451</v>
      </c>
      <c r="BM5" s="17" t="s">
        <v>2142</v>
      </c>
      <c r="BN5" s="17" t="s">
        <v>1453</v>
      </c>
      <c r="BO5" s="17" t="s">
        <v>467</v>
      </c>
      <c r="BP5" s="17" t="s">
        <v>1455</v>
      </c>
      <c r="BQ5" s="17"/>
      <c r="BR5" s="17"/>
      <c r="BS5" s="17" t="s">
        <v>804</v>
      </c>
      <c r="BT5" s="17" t="s">
        <v>806</v>
      </c>
      <c r="BU5" s="17" t="s">
        <v>809</v>
      </c>
      <c r="BV5" s="17" t="s">
        <v>2293</v>
      </c>
      <c r="BW5" s="17" t="s">
        <v>1457</v>
      </c>
      <c r="BX5" s="17" t="s">
        <v>813</v>
      </c>
      <c r="BY5" s="17" t="s">
        <v>815</v>
      </c>
      <c r="BZ5" s="17" t="s">
        <v>2206</v>
      </c>
      <c r="CA5" s="17" t="s">
        <v>232</v>
      </c>
      <c r="CB5" s="17" t="s">
        <v>231</v>
      </c>
      <c r="CC5" s="17" t="s">
        <v>1459</v>
      </c>
      <c r="CD5" s="17" t="s">
        <v>821</v>
      </c>
      <c r="CE5" s="17" t="s">
        <v>823</v>
      </c>
      <c r="CF5" s="17" t="s">
        <v>232</v>
      </c>
      <c r="CG5" s="17" t="s">
        <v>1461</v>
      </c>
      <c r="CH5" s="17" t="s">
        <v>643</v>
      </c>
      <c r="CI5" s="17" t="s">
        <v>830</v>
      </c>
      <c r="CJ5" s="17" t="s">
        <v>834</v>
      </c>
      <c r="CK5" s="17" t="s">
        <v>836</v>
      </c>
      <c r="CL5" s="17"/>
      <c r="CM5" s="17" t="s">
        <v>840</v>
      </c>
      <c r="CN5" s="17" t="s">
        <v>842</v>
      </c>
      <c r="CO5" s="17" t="s">
        <v>264</v>
      </c>
      <c r="CP5" s="17" t="s">
        <v>1463</v>
      </c>
      <c r="CQ5" s="17" t="s">
        <v>848</v>
      </c>
      <c r="CR5" s="17" t="s">
        <v>853</v>
      </c>
      <c r="CS5" s="17" t="s">
        <v>855</v>
      </c>
      <c r="CT5" s="17" t="s">
        <v>859</v>
      </c>
      <c r="CU5" s="17" t="s">
        <v>860</v>
      </c>
      <c r="CV5" s="17" t="s">
        <v>864</v>
      </c>
      <c r="CW5" s="17" t="s">
        <v>866</v>
      </c>
      <c r="CX5" s="17" t="s">
        <v>467</v>
      </c>
      <c r="CY5" s="17" t="s">
        <v>1465</v>
      </c>
      <c r="CZ5" s="17" t="s">
        <v>870</v>
      </c>
      <c r="DA5" s="17" t="s">
        <v>872</v>
      </c>
      <c r="DB5" s="17" t="s">
        <v>799</v>
      </c>
      <c r="DC5" s="17" t="s">
        <v>1467</v>
      </c>
      <c r="DD5" s="17" t="s">
        <v>875</v>
      </c>
      <c r="DE5" s="17" t="s">
        <v>877</v>
      </c>
      <c r="DF5" s="17" t="s">
        <v>881</v>
      </c>
      <c r="DG5" s="17" t="s">
        <v>231</v>
      </c>
      <c r="DH5" s="17" t="s">
        <v>231</v>
      </c>
      <c r="DI5" s="17" t="s">
        <v>231</v>
      </c>
      <c r="DJ5" s="17" t="s">
        <v>883</v>
      </c>
      <c r="DK5" s="17" t="s">
        <v>891</v>
      </c>
      <c r="DL5" s="17" t="s">
        <v>893</v>
      </c>
      <c r="DM5" s="17" t="s">
        <v>897</v>
      </c>
      <c r="DN5" s="17"/>
      <c r="DO5" s="17"/>
      <c r="DP5" s="17"/>
      <c r="DQ5" s="17" t="s">
        <v>232</v>
      </c>
      <c r="DR5" s="17" t="s">
        <v>1469</v>
      </c>
      <c r="DS5" s="17" t="s">
        <v>2302</v>
      </c>
      <c r="DT5" s="17" t="s">
        <v>1471</v>
      </c>
      <c r="DU5" s="17" t="s">
        <v>900</v>
      </c>
      <c r="DV5" s="17"/>
      <c r="DW5" s="17" t="s">
        <v>232</v>
      </c>
      <c r="DX5" s="17" t="s">
        <v>1473</v>
      </c>
      <c r="DY5" s="17" t="s">
        <v>711</v>
      </c>
      <c r="DZ5" s="17" t="s">
        <v>905</v>
      </c>
      <c r="EA5" s="17" t="s">
        <v>908</v>
      </c>
      <c r="EB5" s="17"/>
      <c r="EC5" s="17" t="s">
        <v>232</v>
      </c>
      <c r="ED5" s="17" t="s">
        <v>1475</v>
      </c>
      <c r="EE5" s="17" t="s">
        <v>913</v>
      </c>
      <c r="EF5" s="17" t="s">
        <v>914</v>
      </c>
      <c r="EG5" s="17" t="s">
        <v>918</v>
      </c>
      <c r="EH5" s="17"/>
      <c r="EI5" s="17"/>
      <c r="EJ5" s="17"/>
      <c r="EK5" s="17"/>
      <c r="EL5" s="17"/>
      <c r="EM5" s="17"/>
      <c r="EN5" s="17" t="s">
        <v>923</v>
      </c>
      <c r="EO5" s="17" t="s">
        <v>924</v>
      </c>
      <c r="EP5" s="17" t="s">
        <v>2262</v>
      </c>
      <c r="EQ5" s="17" t="s">
        <v>1477</v>
      </c>
      <c r="ER5" s="17" t="s">
        <v>343</v>
      </c>
      <c r="ES5" s="17" t="s">
        <v>927</v>
      </c>
      <c r="ET5" s="17" t="s">
        <v>344</v>
      </c>
      <c r="EU5" s="17" t="s">
        <v>1479</v>
      </c>
      <c r="EV5" s="17" t="s">
        <v>344</v>
      </c>
      <c r="EW5" s="17" t="s">
        <v>1481</v>
      </c>
      <c r="EX5" s="17" t="s">
        <v>344</v>
      </c>
      <c r="EY5" s="17" t="s">
        <v>1483</v>
      </c>
      <c r="EZ5" s="17" t="s">
        <v>231</v>
      </c>
      <c r="FA5" s="17" t="s">
        <v>350</v>
      </c>
      <c r="FB5" s="17" t="s">
        <v>231</v>
      </c>
      <c r="FC5" s="17" t="s">
        <v>231</v>
      </c>
      <c r="FD5" s="17" t="s">
        <v>231</v>
      </c>
      <c r="FE5" s="17" t="s">
        <v>231</v>
      </c>
      <c r="FF5" s="17" t="s">
        <v>1485</v>
      </c>
      <c r="FG5" s="17" t="s">
        <v>231</v>
      </c>
      <c r="FH5" s="17" t="s">
        <v>231</v>
      </c>
      <c r="FI5" s="17"/>
      <c r="FJ5" s="17" t="s">
        <v>2178</v>
      </c>
    </row>
    <row r="6" customFormat="false" ht="15" hidden="false" customHeight="false" outlineLevel="0" collapsed="false">
      <c r="A6" s="17" t="s">
        <v>2311</v>
      </c>
      <c r="B6" s="17" t="s">
        <v>2312</v>
      </c>
      <c r="C6" s="17" t="s">
        <v>2313</v>
      </c>
      <c r="D6" s="17" t="s">
        <v>2359</v>
      </c>
      <c r="E6" s="17"/>
      <c r="F6" s="17" t="s">
        <v>2313</v>
      </c>
      <c r="G6" s="17" t="s">
        <v>2312</v>
      </c>
      <c r="H6" s="17" t="s">
        <v>2314</v>
      </c>
      <c r="I6" s="17" t="s">
        <v>931</v>
      </c>
      <c r="J6" s="17" t="s">
        <v>935</v>
      </c>
      <c r="K6" s="17" t="s">
        <v>2185</v>
      </c>
      <c r="L6" s="17" t="s">
        <v>2315</v>
      </c>
      <c r="M6" s="17" t="s">
        <v>2316</v>
      </c>
      <c r="N6" s="17"/>
      <c r="O6" s="17" t="s">
        <v>264</v>
      </c>
      <c r="P6" s="17"/>
      <c r="Q6" s="17" t="s">
        <v>231</v>
      </c>
      <c r="R6" s="17" t="s">
        <v>2317</v>
      </c>
      <c r="S6" s="17" t="s">
        <v>1487</v>
      </c>
      <c r="T6" s="17" t="s">
        <v>2121</v>
      </c>
      <c r="U6" s="17" t="s">
        <v>1489</v>
      </c>
      <c r="V6" s="17" t="s">
        <v>940</v>
      </c>
      <c r="W6" s="17" t="s">
        <v>942</v>
      </c>
      <c r="X6" s="17" t="s">
        <v>945</v>
      </c>
      <c r="Y6" s="17" t="s">
        <v>947</v>
      </c>
      <c r="Z6" s="17" t="s">
        <v>264</v>
      </c>
      <c r="AA6" s="17" t="s">
        <v>1491</v>
      </c>
      <c r="AB6" s="17" t="s">
        <v>2275</v>
      </c>
      <c r="AC6" s="17" t="s">
        <v>1493</v>
      </c>
      <c r="AD6" s="17" t="s">
        <v>951</v>
      </c>
      <c r="AE6" s="17" t="s">
        <v>956</v>
      </c>
      <c r="AF6" s="17" t="s">
        <v>953</v>
      </c>
      <c r="AG6" s="17" t="s">
        <v>961</v>
      </c>
      <c r="AH6" s="17" t="s">
        <v>963</v>
      </c>
      <c r="AI6" s="17"/>
      <c r="AJ6" s="17" t="s">
        <v>1495</v>
      </c>
      <c r="AK6" s="17" t="s">
        <v>596</v>
      </c>
      <c r="AL6" s="17" t="s">
        <v>968</v>
      </c>
      <c r="AM6" s="17" t="s">
        <v>972</v>
      </c>
      <c r="AN6" s="17" t="s">
        <v>2323</v>
      </c>
      <c r="AO6" s="17" t="s">
        <v>1497</v>
      </c>
      <c r="AP6" s="17"/>
      <c r="AQ6" s="17" t="s">
        <v>977</v>
      </c>
      <c r="AR6" s="17" t="s">
        <v>231</v>
      </c>
      <c r="AS6" s="17" t="s">
        <v>1499</v>
      </c>
      <c r="AT6" s="17" t="s">
        <v>231</v>
      </c>
      <c r="AU6" s="17" t="s">
        <v>1502</v>
      </c>
      <c r="AV6" s="17"/>
      <c r="AW6" s="17" t="s">
        <v>467</v>
      </c>
      <c r="AX6" s="17" t="s">
        <v>1504</v>
      </c>
      <c r="AY6" s="17" t="s">
        <v>1506</v>
      </c>
      <c r="AZ6" s="17"/>
      <c r="BA6" s="2" t="s">
        <v>980</v>
      </c>
      <c r="BB6" s="17" t="s">
        <v>985</v>
      </c>
      <c r="BC6" s="17" t="s">
        <v>987</v>
      </c>
      <c r="BD6" s="17" t="s">
        <v>992</v>
      </c>
      <c r="BE6" s="17" t="s">
        <v>2329</v>
      </c>
      <c r="BF6" s="17" t="s">
        <v>1509</v>
      </c>
      <c r="BG6" s="17"/>
      <c r="BH6" s="17" t="s">
        <v>597</v>
      </c>
      <c r="BI6" s="17" t="s">
        <v>1511</v>
      </c>
      <c r="BJ6" s="17" t="s">
        <v>264</v>
      </c>
      <c r="BK6" s="17" t="s">
        <v>2140</v>
      </c>
      <c r="BL6" s="17" t="s">
        <v>1513</v>
      </c>
      <c r="BM6" s="17" t="s">
        <v>2142</v>
      </c>
      <c r="BN6" s="17" t="s">
        <v>1515</v>
      </c>
      <c r="BO6" s="17" t="s">
        <v>563</v>
      </c>
      <c r="BP6" s="17" t="s">
        <v>998</v>
      </c>
      <c r="BQ6" s="17" t="s">
        <v>1002</v>
      </c>
      <c r="BR6" s="17" t="s">
        <v>1007</v>
      </c>
      <c r="BS6" s="17" t="s">
        <v>2334</v>
      </c>
      <c r="BT6" s="17" t="s">
        <v>1517</v>
      </c>
      <c r="BU6" s="17"/>
      <c r="BV6" s="17" t="s">
        <v>2147</v>
      </c>
      <c r="BW6" s="17" t="s">
        <v>1519</v>
      </c>
      <c r="BX6" s="17" t="s">
        <v>814</v>
      </c>
      <c r="BY6" s="17" t="s">
        <v>1521</v>
      </c>
      <c r="BZ6" s="17" t="s">
        <v>467</v>
      </c>
      <c r="CA6" s="17" t="s">
        <v>231</v>
      </c>
      <c r="CB6" s="17" t="s">
        <v>231</v>
      </c>
      <c r="CC6" s="17" t="s">
        <v>1523</v>
      </c>
      <c r="CD6" s="17" t="s">
        <v>1011</v>
      </c>
      <c r="CE6" s="17" t="s">
        <v>1013</v>
      </c>
      <c r="CF6" s="17" t="s">
        <v>232</v>
      </c>
      <c r="CG6" s="17" t="s">
        <v>1525</v>
      </c>
      <c r="CH6" s="17" t="s">
        <v>1020</v>
      </c>
      <c r="CI6" s="17" t="s">
        <v>1021</v>
      </c>
      <c r="CJ6" s="17" t="s">
        <v>2340</v>
      </c>
      <c r="CK6" s="17" t="s">
        <v>1527</v>
      </c>
      <c r="CL6" s="17"/>
      <c r="CM6" s="17" t="s">
        <v>1025</v>
      </c>
      <c r="CN6" s="2" t="s">
        <v>1027</v>
      </c>
      <c r="CO6" s="17" t="s">
        <v>264</v>
      </c>
      <c r="CP6" s="17" t="s">
        <v>1529</v>
      </c>
      <c r="CQ6" s="2" t="s">
        <v>1030</v>
      </c>
      <c r="CR6" s="17" t="s">
        <v>2343</v>
      </c>
      <c r="CS6" s="17" t="s">
        <v>1531</v>
      </c>
      <c r="CT6" s="17" t="s">
        <v>257</v>
      </c>
      <c r="CU6" s="17" t="s">
        <v>1533</v>
      </c>
      <c r="CV6" s="17" t="s">
        <v>1035</v>
      </c>
      <c r="CW6" s="17" t="s">
        <v>1036</v>
      </c>
      <c r="CX6" s="17" t="s">
        <v>468</v>
      </c>
      <c r="CY6" s="17" t="s">
        <v>1535</v>
      </c>
      <c r="CZ6" s="17" t="s">
        <v>1040</v>
      </c>
      <c r="DA6" s="17" t="s">
        <v>1042</v>
      </c>
      <c r="DB6" s="17" t="s">
        <v>799</v>
      </c>
      <c r="DC6" s="17" t="s">
        <v>1537</v>
      </c>
      <c r="DD6" s="17" t="s">
        <v>264</v>
      </c>
      <c r="DE6" s="17" t="s">
        <v>1540</v>
      </c>
      <c r="DF6" s="17" t="s">
        <v>264</v>
      </c>
      <c r="DG6" s="17" t="s">
        <v>231</v>
      </c>
      <c r="DH6" s="17" t="s">
        <v>232</v>
      </c>
      <c r="DI6" s="17" t="s">
        <v>231</v>
      </c>
      <c r="DJ6" s="17" t="s">
        <v>1046</v>
      </c>
      <c r="DK6" s="17" t="s">
        <v>1052</v>
      </c>
      <c r="DL6" s="17" t="s">
        <v>1054</v>
      </c>
      <c r="DM6" s="17" t="s">
        <v>1058</v>
      </c>
      <c r="DN6" s="17"/>
      <c r="DO6" s="17"/>
      <c r="DP6" s="17"/>
      <c r="DQ6" s="17" t="s">
        <v>232</v>
      </c>
      <c r="DR6" s="17" t="s">
        <v>1544</v>
      </c>
      <c r="DS6" s="17" t="s">
        <v>1061</v>
      </c>
      <c r="DT6" s="17" t="s">
        <v>1063</v>
      </c>
      <c r="DU6" s="17" t="s">
        <v>1066</v>
      </c>
      <c r="DV6" s="17"/>
      <c r="DW6" s="17" t="s">
        <v>232</v>
      </c>
      <c r="DX6" s="17" t="s">
        <v>1546</v>
      </c>
      <c r="DY6" s="17" t="s">
        <v>1071</v>
      </c>
      <c r="DZ6" s="17" t="s">
        <v>1073</v>
      </c>
      <c r="EA6" s="17" t="s">
        <v>1077</v>
      </c>
      <c r="EB6" s="17"/>
      <c r="EC6" s="17" t="s">
        <v>232</v>
      </c>
      <c r="ED6" s="17" t="s">
        <v>1548</v>
      </c>
      <c r="EE6" s="17" t="s">
        <v>1082</v>
      </c>
      <c r="EF6" s="17" t="s">
        <v>1083</v>
      </c>
      <c r="EG6" s="17" t="s">
        <v>1086</v>
      </c>
      <c r="EH6" s="17"/>
      <c r="EI6" s="17"/>
      <c r="EJ6" s="17"/>
      <c r="EK6" s="17"/>
      <c r="EL6" s="17"/>
      <c r="EM6" s="17"/>
      <c r="EN6" s="17" t="s">
        <v>923</v>
      </c>
      <c r="EO6" s="17" t="s">
        <v>1550</v>
      </c>
      <c r="EP6" s="17" t="s">
        <v>2172</v>
      </c>
      <c r="EQ6" s="17" t="s">
        <v>1552</v>
      </c>
      <c r="ER6" s="17" t="s">
        <v>343</v>
      </c>
      <c r="ES6" s="17" t="s">
        <v>1554</v>
      </c>
      <c r="ET6" s="17" t="s">
        <v>343</v>
      </c>
      <c r="EU6" s="17" t="s">
        <v>1556</v>
      </c>
      <c r="EV6" s="17" t="s">
        <v>344</v>
      </c>
      <c r="EW6" s="17" t="s">
        <v>1559</v>
      </c>
      <c r="EX6" s="17" t="s">
        <v>1091</v>
      </c>
      <c r="EY6" s="17" t="s">
        <v>1092</v>
      </c>
      <c r="EZ6" s="17" t="s">
        <v>231</v>
      </c>
      <c r="FA6" s="17" t="s">
        <v>467</v>
      </c>
      <c r="FB6" s="17" t="s">
        <v>231</v>
      </c>
      <c r="FC6" s="17" t="s">
        <v>231</v>
      </c>
      <c r="FD6" s="17" t="s">
        <v>231</v>
      </c>
      <c r="FE6" s="17" t="s">
        <v>231</v>
      </c>
      <c r="FF6" s="17" t="s">
        <v>1096</v>
      </c>
      <c r="FG6" s="17" t="s">
        <v>231</v>
      </c>
      <c r="FH6" s="17" t="s">
        <v>231</v>
      </c>
      <c r="FI6" s="17"/>
      <c r="FJ6" s="17" t="s">
        <v>2178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sheetData>
    <row r="1" customFormat="false" ht="141" hidden="false" customHeight="false" outlineLevel="0" collapsed="false">
      <c r="A1" s="6" t="s">
        <v>1943</v>
      </c>
      <c r="B1" s="6" t="s">
        <v>1944</v>
      </c>
      <c r="C1" s="6" t="s">
        <v>1945</v>
      </c>
      <c r="D1" s="6" t="s">
        <v>1946</v>
      </c>
      <c r="E1" s="6" t="s">
        <v>1947</v>
      </c>
      <c r="F1" s="6" t="s">
        <v>1948</v>
      </c>
      <c r="G1" s="6" t="s">
        <v>1949</v>
      </c>
      <c r="H1" s="6" t="s">
        <v>1950</v>
      </c>
      <c r="I1" s="6" t="s">
        <v>1951</v>
      </c>
      <c r="J1" s="6" t="s">
        <v>1952</v>
      </c>
      <c r="K1" s="6" t="s">
        <v>1953</v>
      </c>
      <c r="L1" s="6" t="s">
        <v>1954</v>
      </c>
      <c r="M1" s="6" t="s">
        <v>1955</v>
      </c>
      <c r="N1" s="6" t="s">
        <v>1956</v>
      </c>
      <c r="O1" s="6" t="s">
        <v>1957</v>
      </c>
      <c r="P1" s="6" t="s">
        <v>1958</v>
      </c>
      <c r="Q1" s="6" t="s">
        <v>1959</v>
      </c>
      <c r="R1" s="6" t="s">
        <v>1960</v>
      </c>
      <c r="S1" s="6" t="s">
        <v>1961</v>
      </c>
      <c r="T1" s="6" t="s">
        <v>1962</v>
      </c>
      <c r="U1" s="6" t="s">
        <v>1963</v>
      </c>
      <c r="V1" s="6" t="s">
        <v>1964</v>
      </c>
      <c r="W1" s="6" t="s">
        <v>1965</v>
      </c>
      <c r="X1" s="6" t="s">
        <v>1966</v>
      </c>
      <c r="Y1" s="6" t="s">
        <v>1967</v>
      </c>
      <c r="Z1" s="6" t="s">
        <v>1968</v>
      </c>
      <c r="AA1" s="6" t="s">
        <v>1969</v>
      </c>
      <c r="AB1" s="6" t="s">
        <v>1970</v>
      </c>
      <c r="AC1" s="6" t="s">
        <v>1971</v>
      </c>
      <c r="AD1" s="6" t="s">
        <v>1972</v>
      </c>
      <c r="AE1" s="6" t="s">
        <v>1973</v>
      </c>
      <c r="AF1" s="6" t="s">
        <v>1974</v>
      </c>
      <c r="AG1" s="6" t="s">
        <v>1975</v>
      </c>
      <c r="AH1" s="6" t="s">
        <v>1976</v>
      </c>
      <c r="AI1" s="6" t="s">
        <v>1977</v>
      </c>
      <c r="AJ1" s="6" t="s">
        <v>1978</v>
      </c>
      <c r="AK1" s="6" t="s">
        <v>1979</v>
      </c>
      <c r="AL1" s="6" t="s">
        <v>1980</v>
      </c>
      <c r="AM1" s="6" t="s">
        <v>1981</v>
      </c>
      <c r="AN1" s="6" t="s">
        <v>1982</v>
      </c>
      <c r="AO1" s="6" t="s">
        <v>1983</v>
      </c>
      <c r="AP1" s="6" t="s">
        <v>1984</v>
      </c>
      <c r="AQ1" s="6" t="s">
        <v>1985</v>
      </c>
      <c r="AR1" s="6" t="s">
        <v>1986</v>
      </c>
      <c r="AS1" s="6" t="s">
        <v>1987</v>
      </c>
      <c r="AT1" s="6" t="s">
        <v>1988</v>
      </c>
      <c r="AU1" s="6" t="s">
        <v>1989</v>
      </c>
      <c r="AV1" s="6" t="s">
        <v>1990</v>
      </c>
      <c r="AW1" s="6" t="s">
        <v>1991</v>
      </c>
      <c r="AX1" s="6" t="s">
        <v>1992</v>
      </c>
      <c r="AY1" s="6" t="s">
        <v>1993</v>
      </c>
      <c r="AZ1" s="6" t="s">
        <v>1994</v>
      </c>
      <c r="BA1" s="6" t="s">
        <v>1995</v>
      </c>
      <c r="BB1" s="6" t="s">
        <v>1996</v>
      </c>
      <c r="BC1" s="6" t="s">
        <v>1997</v>
      </c>
      <c r="BD1" s="6" t="s">
        <v>1998</v>
      </c>
      <c r="BE1" s="6" t="s">
        <v>1999</v>
      </c>
      <c r="BF1" s="6" t="s">
        <v>2000</v>
      </c>
      <c r="BG1" s="6" t="s">
        <v>2001</v>
      </c>
      <c r="BH1" s="6" t="s">
        <v>2002</v>
      </c>
      <c r="BI1" s="6" t="s">
        <v>2003</v>
      </c>
      <c r="BJ1" s="6" t="s">
        <v>2004</v>
      </c>
      <c r="BK1" s="6" t="s">
        <v>2005</v>
      </c>
      <c r="BL1" s="6" t="s">
        <v>2006</v>
      </c>
      <c r="BM1" s="6" t="s">
        <v>2007</v>
      </c>
      <c r="BN1" s="6" t="s">
        <v>2008</v>
      </c>
      <c r="BO1" s="6" t="s">
        <v>2009</v>
      </c>
      <c r="BP1" s="6" t="s">
        <v>2010</v>
      </c>
      <c r="BQ1" s="6" t="s">
        <v>2011</v>
      </c>
      <c r="BR1" s="6" t="s">
        <v>2012</v>
      </c>
      <c r="BS1" s="6" t="s">
        <v>2013</v>
      </c>
      <c r="BT1" s="6" t="s">
        <v>2014</v>
      </c>
      <c r="BU1" s="6" t="s">
        <v>2015</v>
      </c>
      <c r="BV1" s="6" t="s">
        <v>2016</v>
      </c>
      <c r="BW1" s="6" t="s">
        <v>2017</v>
      </c>
      <c r="BX1" s="6" t="s">
        <v>2018</v>
      </c>
      <c r="BY1" s="6" t="s">
        <v>2019</v>
      </c>
      <c r="BZ1" s="6" t="s">
        <v>2020</v>
      </c>
      <c r="CA1" s="6" t="s">
        <v>2021</v>
      </c>
      <c r="CB1" s="6" t="s">
        <v>2022</v>
      </c>
      <c r="CC1" s="6" t="s">
        <v>2023</v>
      </c>
      <c r="CD1" s="6" t="s">
        <v>2024</v>
      </c>
      <c r="CE1" s="6" t="s">
        <v>2025</v>
      </c>
      <c r="CF1" s="6" t="s">
        <v>2026</v>
      </c>
      <c r="CG1" s="6" t="s">
        <v>2027</v>
      </c>
      <c r="CH1" s="6" t="s">
        <v>2028</v>
      </c>
      <c r="CI1" s="6" t="s">
        <v>2029</v>
      </c>
      <c r="CJ1" s="6" t="s">
        <v>2030</v>
      </c>
      <c r="CK1" s="6" t="s">
        <v>2031</v>
      </c>
      <c r="CL1" s="6" t="s">
        <v>2032</v>
      </c>
      <c r="CM1" s="6" t="s">
        <v>2033</v>
      </c>
      <c r="CN1" s="6" t="s">
        <v>2034</v>
      </c>
      <c r="CO1" s="6" t="s">
        <v>2035</v>
      </c>
      <c r="CP1" s="6" t="s">
        <v>2036</v>
      </c>
      <c r="CQ1" s="6" t="s">
        <v>2037</v>
      </c>
      <c r="CR1" s="6" t="s">
        <v>2038</v>
      </c>
      <c r="CS1" s="6" t="s">
        <v>2039</v>
      </c>
      <c r="CT1" s="6" t="s">
        <v>2040</v>
      </c>
      <c r="CU1" s="6" t="s">
        <v>2041</v>
      </c>
      <c r="CV1" s="6" t="s">
        <v>2042</v>
      </c>
      <c r="CW1" s="6" t="s">
        <v>2043</v>
      </c>
      <c r="CX1" s="6" t="s">
        <v>2044</v>
      </c>
      <c r="CY1" s="6" t="s">
        <v>2045</v>
      </c>
      <c r="CZ1" s="6" t="s">
        <v>126</v>
      </c>
      <c r="DA1" s="6" t="s">
        <v>2046</v>
      </c>
      <c r="DB1" s="6" t="s">
        <v>2047</v>
      </c>
      <c r="DC1" s="6" t="s">
        <v>2048</v>
      </c>
      <c r="DD1" s="6" t="s">
        <v>2049</v>
      </c>
      <c r="DE1" s="6" t="s">
        <v>2050</v>
      </c>
      <c r="DF1" s="6" t="s">
        <v>2051</v>
      </c>
      <c r="DG1" s="6" t="s">
        <v>2052</v>
      </c>
      <c r="DH1" s="6" t="s">
        <v>2053</v>
      </c>
      <c r="DI1" s="6" t="s">
        <v>2054</v>
      </c>
      <c r="DJ1" s="6" t="s">
        <v>2055</v>
      </c>
      <c r="DK1" s="6" t="s">
        <v>2056</v>
      </c>
      <c r="DL1" s="6" t="s">
        <v>2057</v>
      </c>
      <c r="DM1" s="6" t="s">
        <v>2058</v>
      </c>
      <c r="DN1" s="6" t="s">
        <v>2059</v>
      </c>
      <c r="DO1" s="6" t="s">
        <v>2060</v>
      </c>
      <c r="DP1" s="6" t="s">
        <v>2061</v>
      </c>
      <c r="DQ1" s="6" t="s">
        <v>2062</v>
      </c>
      <c r="DR1" s="6" t="s">
        <v>2063</v>
      </c>
      <c r="DS1" s="6" t="s">
        <v>2064</v>
      </c>
      <c r="DT1" s="6" t="s">
        <v>2065</v>
      </c>
      <c r="DU1" s="6" t="s">
        <v>2066</v>
      </c>
      <c r="DV1" s="6" t="s">
        <v>2067</v>
      </c>
      <c r="DW1" s="6" t="s">
        <v>2068</v>
      </c>
      <c r="DX1" s="6" t="s">
        <v>2069</v>
      </c>
      <c r="DY1" s="6" t="s">
        <v>2070</v>
      </c>
      <c r="DZ1" s="6" t="s">
        <v>2071</v>
      </c>
      <c r="EA1" s="6" t="s">
        <v>2072</v>
      </c>
      <c r="EB1" s="6" t="s">
        <v>2073</v>
      </c>
      <c r="EC1" s="6" t="s">
        <v>2074</v>
      </c>
      <c r="ED1" s="6" t="s">
        <v>2075</v>
      </c>
      <c r="EE1" s="6" t="s">
        <v>2076</v>
      </c>
      <c r="EF1" s="6" t="s">
        <v>2077</v>
      </c>
      <c r="EG1" s="6" t="s">
        <v>2078</v>
      </c>
      <c r="EH1" s="6" t="s">
        <v>2079</v>
      </c>
      <c r="EI1" s="6" t="s">
        <v>2080</v>
      </c>
      <c r="EJ1" s="6" t="s">
        <v>2081</v>
      </c>
      <c r="EK1" s="6" t="s">
        <v>2082</v>
      </c>
      <c r="EL1" s="6" t="s">
        <v>2083</v>
      </c>
      <c r="EM1" s="6" t="s">
        <v>2084</v>
      </c>
      <c r="EN1" s="6" t="s">
        <v>2085</v>
      </c>
      <c r="EO1" s="6" t="s">
        <v>2086</v>
      </c>
      <c r="EP1" s="6" t="s">
        <v>2087</v>
      </c>
      <c r="EQ1" s="6" t="s">
        <v>2088</v>
      </c>
      <c r="ER1" s="6" t="s">
        <v>2089</v>
      </c>
      <c r="ES1" s="6" t="s">
        <v>2090</v>
      </c>
      <c r="ET1" s="6" t="s">
        <v>2091</v>
      </c>
      <c r="EU1" s="6" t="s">
        <v>2092</v>
      </c>
      <c r="EV1" s="6" t="s">
        <v>2093</v>
      </c>
      <c r="EW1" s="6" t="s">
        <v>2094</v>
      </c>
      <c r="EX1" s="6" t="s">
        <v>2095</v>
      </c>
      <c r="EY1" s="6" t="s">
        <v>2096</v>
      </c>
      <c r="EZ1" s="6" t="s">
        <v>2097</v>
      </c>
      <c r="FA1" s="6" t="s">
        <v>2098</v>
      </c>
      <c r="FB1" s="6" t="s">
        <v>2099</v>
      </c>
      <c r="FC1" s="6" t="s">
        <v>2100</v>
      </c>
      <c r="FD1" s="6" t="s">
        <v>2101</v>
      </c>
      <c r="FE1" s="6" t="s">
        <v>2102</v>
      </c>
      <c r="FF1" s="6" t="s">
        <v>2103</v>
      </c>
      <c r="FG1" s="6" t="s">
        <v>2104</v>
      </c>
      <c r="FH1" s="6" t="s">
        <v>2105</v>
      </c>
      <c r="FI1" s="6" t="s">
        <v>2106</v>
      </c>
      <c r="FJ1" s="6" t="s">
        <v>2107</v>
      </c>
    </row>
    <row r="2" customFormat="false" ht="15" hidden="false" customHeight="false" outlineLevel="0" collapsed="false">
      <c r="A2" s="17" t="s">
        <v>2108</v>
      </c>
      <c r="B2" s="17" t="s">
        <v>2109</v>
      </c>
      <c r="C2" s="17" t="s">
        <v>2110</v>
      </c>
      <c r="D2" s="17" t="s">
        <v>2359</v>
      </c>
      <c r="E2" s="17"/>
      <c r="F2" s="17" t="s">
        <v>2110</v>
      </c>
      <c r="G2" s="17" t="s">
        <v>2109</v>
      </c>
      <c r="H2" s="17" t="s">
        <v>2112</v>
      </c>
      <c r="I2" s="17" t="s">
        <v>2113</v>
      </c>
      <c r="J2" s="17" t="s">
        <v>2114</v>
      </c>
      <c r="K2" s="17" t="s">
        <v>2115</v>
      </c>
      <c r="L2" s="17" t="s">
        <v>2116</v>
      </c>
      <c r="M2" s="17" t="s">
        <v>2117</v>
      </c>
      <c r="N2" s="17" t="s">
        <v>2118</v>
      </c>
      <c r="O2" s="17" t="s">
        <v>2119</v>
      </c>
      <c r="P2" s="17" t="s">
        <v>2120</v>
      </c>
      <c r="Q2" s="17" t="s">
        <v>231</v>
      </c>
      <c r="R2" s="17" t="s">
        <v>186</v>
      </c>
      <c r="S2" s="17" t="s">
        <v>188</v>
      </c>
      <c r="T2" s="17" t="s">
        <v>2121</v>
      </c>
      <c r="U2" s="17" t="s">
        <v>1108</v>
      </c>
      <c r="V2" s="17" t="s">
        <v>195</v>
      </c>
      <c r="W2" s="17" t="s">
        <v>197</v>
      </c>
      <c r="X2" s="17" t="s">
        <v>205</v>
      </c>
      <c r="Y2" s="17" t="s">
        <v>207</v>
      </c>
      <c r="Z2" s="17" t="s">
        <v>2123</v>
      </c>
      <c r="AA2" s="17" t="s">
        <v>1117</v>
      </c>
      <c r="AB2" s="17" t="s">
        <v>2125</v>
      </c>
      <c r="AC2" s="17" t="s">
        <v>1121</v>
      </c>
      <c r="AD2" s="17" t="s">
        <v>2127</v>
      </c>
      <c r="AE2" s="17"/>
      <c r="AF2" s="17" t="s">
        <v>1125</v>
      </c>
      <c r="AG2" s="17" t="s">
        <v>2129</v>
      </c>
      <c r="AH2" s="17" t="s">
        <v>1129</v>
      </c>
      <c r="AI2" s="17" t="s">
        <v>213</v>
      </c>
      <c r="AJ2" s="17" t="s">
        <v>215</v>
      </c>
      <c r="AK2" s="17" t="s">
        <v>799</v>
      </c>
      <c r="AL2" s="17" t="s">
        <v>1136</v>
      </c>
      <c r="AM2" s="17" t="s">
        <v>264</v>
      </c>
      <c r="AN2" s="17" t="s">
        <v>220</v>
      </c>
      <c r="AO2" s="17" t="s">
        <v>222</v>
      </c>
      <c r="AP2" s="17" t="s">
        <v>220</v>
      </c>
      <c r="AQ2" s="17" t="s">
        <v>227</v>
      </c>
      <c r="AR2" s="17" t="s">
        <v>232</v>
      </c>
      <c r="AS2" s="17" t="s">
        <v>1144</v>
      </c>
      <c r="AT2" s="17" t="s">
        <v>232</v>
      </c>
      <c r="AU2" s="17" t="s">
        <v>234</v>
      </c>
      <c r="AV2" s="17" t="s">
        <v>239</v>
      </c>
      <c r="AW2" s="17" t="s">
        <v>467</v>
      </c>
      <c r="AX2" s="17" t="s">
        <v>1150</v>
      </c>
      <c r="AY2" s="17" t="s">
        <v>1154</v>
      </c>
      <c r="AZ2" s="17"/>
      <c r="BA2" s="17" t="s">
        <v>246</v>
      </c>
      <c r="BB2" s="17" t="s">
        <v>2135</v>
      </c>
      <c r="BC2" s="17" t="s">
        <v>1158</v>
      </c>
      <c r="BD2" s="17" t="s">
        <v>253</v>
      </c>
      <c r="BE2" s="17" t="s">
        <v>2137</v>
      </c>
      <c r="BF2" s="17" t="s">
        <v>1163</v>
      </c>
      <c r="BG2" s="17"/>
      <c r="BH2" s="17" t="s">
        <v>799</v>
      </c>
      <c r="BI2" s="17" t="s">
        <v>1168</v>
      </c>
      <c r="BJ2" s="17" t="s">
        <v>264</v>
      </c>
      <c r="BK2" s="17" t="s">
        <v>2140</v>
      </c>
      <c r="BL2" s="17" t="s">
        <v>1172</v>
      </c>
      <c r="BM2" s="17" t="s">
        <v>2142</v>
      </c>
      <c r="BN2" s="17" t="s">
        <v>1176</v>
      </c>
      <c r="BO2" s="17" t="s">
        <v>467</v>
      </c>
      <c r="BP2" s="17" t="s">
        <v>1180</v>
      </c>
      <c r="BQ2" s="17"/>
      <c r="BR2" s="17"/>
      <c r="BS2" s="17" t="s">
        <v>2145</v>
      </c>
      <c r="BT2" s="17" t="s">
        <v>1184</v>
      </c>
      <c r="BU2" s="17"/>
      <c r="BV2" s="17" t="s">
        <v>2147</v>
      </c>
      <c r="BW2" s="17" t="s">
        <v>1188</v>
      </c>
      <c r="BX2" s="17" t="s">
        <v>625</v>
      </c>
      <c r="BY2" s="17" t="s">
        <v>1192</v>
      </c>
      <c r="BZ2" s="17" t="s">
        <v>467</v>
      </c>
      <c r="CA2" s="17" t="s">
        <v>231</v>
      </c>
      <c r="CB2" s="17" t="s">
        <v>231</v>
      </c>
      <c r="CC2" s="17" t="s">
        <v>1196</v>
      </c>
      <c r="CD2" s="17" t="s">
        <v>2151</v>
      </c>
      <c r="CE2" s="17" t="s">
        <v>1200</v>
      </c>
      <c r="CF2" s="17" t="s">
        <v>231</v>
      </c>
      <c r="CG2" s="17" t="s">
        <v>1204</v>
      </c>
      <c r="CH2" s="17" t="s">
        <v>467</v>
      </c>
      <c r="CI2" s="17" t="s">
        <v>1208</v>
      </c>
      <c r="CJ2" s="17"/>
      <c r="CK2" s="17" t="s">
        <v>1212</v>
      </c>
      <c r="CL2" s="17"/>
      <c r="CM2" s="17" t="s">
        <v>467</v>
      </c>
      <c r="CN2" s="17" t="s">
        <v>1216</v>
      </c>
      <c r="CO2" s="17" t="s">
        <v>264</v>
      </c>
      <c r="CP2" s="17" t="s">
        <v>1220</v>
      </c>
      <c r="CQ2" s="17"/>
      <c r="CR2" s="17" t="s">
        <v>2158</v>
      </c>
      <c r="CS2" s="17" t="s">
        <v>1224</v>
      </c>
      <c r="CT2" s="17" t="s">
        <v>258</v>
      </c>
      <c r="CU2" s="17" t="s">
        <v>260</v>
      </c>
      <c r="CV2" s="17" t="s">
        <v>264</v>
      </c>
      <c r="CW2" s="17" t="s">
        <v>266</v>
      </c>
      <c r="CX2" s="17" t="s">
        <v>2160</v>
      </c>
      <c r="CY2" s="17" t="s">
        <v>1232</v>
      </c>
      <c r="CZ2" s="17" t="s">
        <v>272</v>
      </c>
      <c r="DA2" s="17" t="s">
        <v>274</v>
      </c>
      <c r="DB2" s="17" t="s">
        <v>799</v>
      </c>
      <c r="DC2" s="17" t="s">
        <v>1237</v>
      </c>
      <c r="DD2" s="17" t="s">
        <v>279</v>
      </c>
      <c r="DE2" s="17" t="s">
        <v>281</v>
      </c>
      <c r="DF2" s="17" t="s">
        <v>287</v>
      </c>
      <c r="DG2" s="17" t="s">
        <v>231</v>
      </c>
      <c r="DH2" s="17" t="s">
        <v>232</v>
      </c>
      <c r="DI2" s="17" t="s">
        <v>232</v>
      </c>
      <c r="DJ2" s="17" t="s">
        <v>289</v>
      </c>
      <c r="DK2" s="17" t="s">
        <v>299</v>
      </c>
      <c r="DL2" s="17" t="s">
        <v>301</v>
      </c>
      <c r="DM2" s="17" t="s">
        <v>307</v>
      </c>
      <c r="DN2" s="17"/>
      <c r="DO2" s="17"/>
      <c r="DP2" s="17"/>
      <c r="DQ2" s="17" t="s">
        <v>232</v>
      </c>
      <c r="DR2" s="17" t="s">
        <v>1247</v>
      </c>
      <c r="DS2" s="17" t="s">
        <v>2166</v>
      </c>
      <c r="DT2" s="17" t="s">
        <v>1251</v>
      </c>
      <c r="DU2" s="17" t="s">
        <v>312</v>
      </c>
      <c r="DV2" s="17"/>
      <c r="DW2" s="17" t="s">
        <v>232</v>
      </c>
      <c r="DX2" s="17" t="s">
        <v>1255</v>
      </c>
      <c r="DY2" s="17" t="s">
        <v>318</v>
      </c>
      <c r="DZ2" s="17" t="s">
        <v>320</v>
      </c>
      <c r="EA2" s="17" t="s">
        <v>324</v>
      </c>
      <c r="EB2" s="17"/>
      <c r="EC2" s="17" t="s">
        <v>232</v>
      </c>
      <c r="ED2" s="17" t="s">
        <v>1261</v>
      </c>
      <c r="EE2" s="17" t="s">
        <v>331</v>
      </c>
      <c r="EF2" s="17" t="s">
        <v>333</v>
      </c>
      <c r="EG2" s="17" t="s">
        <v>337</v>
      </c>
      <c r="EH2" s="17"/>
      <c r="EI2" s="17"/>
      <c r="EJ2" s="17"/>
      <c r="EK2" s="17"/>
      <c r="EL2" s="17"/>
      <c r="EM2" s="17"/>
      <c r="EN2" s="17" t="s">
        <v>2170</v>
      </c>
      <c r="EO2" s="17" t="s">
        <v>1267</v>
      </c>
      <c r="EP2" s="17" t="s">
        <v>2172</v>
      </c>
      <c r="EQ2" s="17" t="s">
        <v>1271</v>
      </c>
      <c r="ER2" s="17" t="s">
        <v>344</v>
      </c>
      <c r="ES2" s="17" t="s">
        <v>1275</v>
      </c>
      <c r="ET2" s="17" t="s">
        <v>344</v>
      </c>
      <c r="EU2" s="17" t="s">
        <v>1279</v>
      </c>
      <c r="EV2" s="17" t="s">
        <v>344</v>
      </c>
      <c r="EW2" s="17" t="s">
        <v>1283</v>
      </c>
      <c r="EX2" s="17" t="s">
        <v>344</v>
      </c>
      <c r="EY2" s="17" t="s">
        <v>346</v>
      </c>
      <c r="EZ2" s="17" t="s">
        <v>231</v>
      </c>
      <c r="FA2" s="17" t="s">
        <v>351</v>
      </c>
      <c r="FB2" s="17" t="s">
        <v>231</v>
      </c>
      <c r="FC2" s="17" t="s">
        <v>232</v>
      </c>
      <c r="FD2" s="17" t="s">
        <v>232</v>
      </c>
      <c r="FE2" s="17" t="s">
        <v>231</v>
      </c>
      <c r="FF2" s="17" t="s">
        <v>353</v>
      </c>
      <c r="FG2" s="17" t="s">
        <v>231</v>
      </c>
      <c r="FH2" s="17" t="s">
        <v>231</v>
      </c>
      <c r="FI2" s="17"/>
      <c r="FJ2" s="17" t="s">
        <v>2178</v>
      </c>
    </row>
    <row r="3" customFormat="false" ht="15" hidden="false" customHeight="false" outlineLevel="0" collapsed="false">
      <c r="A3" s="17" t="s">
        <v>2179</v>
      </c>
      <c r="B3" s="17" t="s">
        <v>2180</v>
      </c>
      <c r="C3" s="17" t="s">
        <v>2181</v>
      </c>
      <c r="D3" s="17" t="s">
        <v>2359</v>
      </c>
      <c r="E3" s="17"/>
      <c r="F3" s="17" t="s">
        <v>2181</v>
      </c>
      <c r="G3" s="17" t="s">
        <v>2180</v>
      </c>
      <c r="H3" s="17" t="s">
        <v>2182</v>
      </c>
      <c r="I3" s="17" t="s">
        <v>2183</v>
      </c>
      <c r="J3" s="17" t="s">
        <v>2184</v>
      </c>
      <c r="K3" s="17" t="s">
        <v>2185</v>
      </c>
      <c r="L3" s="17" t="s">
        <v>2186</v>
      </c>
      <c r="M3" s="17" t="s">
        <v>2187</v>
      </c>
      <c r="N3" s="17" t="s">
        <v>2118</v>
      </c>
      <c r="O3" s="17" t="s">
        <v>362</v>
      </c>
      <c r="P3" s="17" t="s">
        <v>368</v>
      </c>
      <c r="Q3" s="17" t="s">
        <v>231</v>
      </c>
      <c r="R3" s="17" t="s">
        <v>186</v>
      </c>
      <c r="S3" s="17" t="s">
        <v>1289</v>
      </c>
      <c r="T3" s="17" t="s">
        <v>2121</v>
      </c>
      <c r="U3" s="17" t="s">
        <v>1291</v>
      </c>
      <c r="V3" s="17" t="s">
        <v>372</v>
      </c>
      <c r="W3" s="17" t="s">
        <v>374</v>
      </c>
      <c r="X3" s="17" t="s">
        <v>379</v>
      </c>
      <c r="Y3" s="17" t="s">
        <v>381</v>
      </c>
      <c r="Z3" s="17" t="s">
        <v>386</v>
      </c>
      <c r="AA3" s="17" t="s">
        <v>388</v>
      </c>
      <c r="AB3" s="17" t="s">
        <v>394</v>
      </c>
      <c r="AC3" s="17" t="s">
        <v>396</v>
      </c>
      <c r="AD3" s="17" t="s">
        <v>401</v>
      </c>
      <c r="AE3" s="17"/>
      <c r="AF3" s="17" t="s">
        <v>403</v>
      </c>
      <c r="AG3" s="17" t="s">
        <v>2129</v>
      </c>
      <c r="AH3" s="17" t="s">
        <v>1295</v>
      </c>
      <c r="AI3" s="17"/>
      <c r="AJ3" s="17" t="s">
        <v>413</v>
      </c>
      <c r="AK3" s="17" t="s">
        <v>799</v>
      </c>
      <c r="AL3" s="17" t="s">
        <v>1298</v>
      </c>
      <c r="AM3" s="17" t="s">
        <v>264</v>
      </c>
      <c r="AN3" s="17" t="s">
        <v>220</v>
      </c>
      <c r="AO3" s="17" t="s">
        <v>1300</v>
      </c>
      <c r="AP3" s="17" t="s">
        <v>220</v>
      </c>
      <c r="AQ3" s="17" t="s">
        <v>417</v>
      </c>
      <c r="AR3" s="17" t="s">
        <v>232</v>
      </c>
      <c r="AS3" s="17" t="s">
        <v>1302</v>
      </c>
      <c r="AT3" s="17" t="s">
        <v>232</v>
      </c>
      <c r="AU3" s="17" t="s">
        <v>1304</v>
      </c>
      <c r="AV3" s="17" t="s">
        <v>422</v>
      </c>
      <c r="AW3" s="17" t="s">
        <v>467</v>
      </c>
      <c r="AX3" s="17" t="s">
        <v>1306</v>
      </c>
      <c r="AY3" s="17" t="s">
        <v>1308</v>
      </c>
      <c r="AZ3" s="17"/>
      <c r="BA3" s="17" t="s">
        <v>425</v>
      </c>
      <c r="BB3" s="17" t="s">
        <v>2197</v>
      </c>
      <c r="BC3" s="17" t="s">
        <v>1310</v>
      </c>
      <c r="BD3" s="17" t="s">
        <v>429</v>
      </c>
      <c r="BE3" s="17" t="s">
        <v>2137</v>
      </c>
      <c r="BF3" s="17" t="s">
        <v>1313</v>
      </c>
      <c r="BG3" s="17"/>
      <c r="BH3" s="17" t="s">
        <v>799</v>
      </c>
      <c r="BI3" s="17" t="s">
        <v>1315</v>
      </c>
      <c r="BJ3" s="17" t="s">
        <v>264</v>
      </c>
      <c r="BK3" s="17" t="s">
        <v>2140</v>
      </c>
      <c r="BL3" s="17" t="s">
        <v>1318</v>
      </c>
      <c r="BM3" s="17" t="s">
        <v>2142</v>
      </c>
      <c r="BN3" s="17" t="s">
        <v>1320</v>
      </c>
      <c r="BO3" s="17" t="s">
        <v>467</v>
      </c>
      <c r="BP3" s="17" t="s">
        <v>1323</v>
      </c>
      <c r="BQ3" s="17"/>
      <c r="BR3" s="17"/>
      <c r="BS3" s="17" t="s">
        <v>434</v>
      </c>
      <c r="BT3" s="17" t="s">
        <v>436</v>
      </c>
      <c r="BU3" s="17" t="s">
        <v>440</v>
      </c>
      <c r="BV3" s="17" t="s">
        <v>2204</v>
      </c>
      <c r="BW3" s="17" t="s">
        <v>1325</v>
      </c>
      <c r="BX3" s="17" t="s">
        <v>447</v>
      </c>
      <c r="BY3" s="17" t="s">
        <v>449</v>
      </c>
      <c r="BZ3" s="17" t="s">
        <v>2206</v>
      </c>
      <c r="CA3" s="17" t="s">
        <v>232</v>
      </c>
      <c r="CB3" s="17" t="s">
        <v>232</v>
      </c>
      <c r="CC3" s="17" t="s">
        <v>1327</v>
      </c>
      <c r="CD3" s="17" t="s">
        <v>2208</v>
      </c>
      <c r="CE3" s="17" t="s">
        <v>1329</v>
      </c>
      <c r="CF3" s="17" t="s">
        <v>231</v>
      </c>
      <c r="CG3" s="17" t="s">
        <v>1331</v>
      </c>
      <c r="CH3" s="17" t="s">
        <v>467</v>
      </c>
      <c r="CI3" s="17" t="s">
        <v>1334</v>
      </c>
      <c r="CJ3" s="17"/>
      <c r="CK3" s="17" t="s">
        <v>1337</v>
      </c>
      <c r="CL3" s="17"/>
      <c r="CM3" s="17" t="s">
        <v>467</v>
      </c>
      <c r="CN3" s="17" t="s">
        <v>1339</v>
      </c>
      <c r="CO3" s="17" t="s">
        <v>264</v>
      </c>
      <c r="CP3" s="17" t="s">
        <v>1342</v>
      </c>
      <c r="CQ3" s="17"/>
      <c r="CR3" s="17" t="s">
        <v>454</v>
      </c>
      <c r="CS3" s="17" t="s">
        <v>456</v>
      </c>
      <c r="CT3" s="17" t="s">
        <v>258</v>
      </c>
      <c r="CU3" s="17" t="s">
        <v>1344</v>
      </c>
      <c r="CV3" s="17" t="s">
        <v>264</v>
      </c>
      <c r="CW3" s="17" t="s">
        <v>463</v>
      </c>
      <c r="CX3" s="17" t="s">
        <v>468</v>
      </c>
      <c r="CY3" s="17" t="s">
        <v>470</v>
      </c>
      <c r="CZ3" s="17" t="s">
        <v>1040</v>
      </c>
      <c r="DA3" s="17" t="s">
        <v>1346</v>
      </c>
      <c r="DB3" s="17" t="s">
        <v>799</v>
      </c>
      <c r="DC3" s="17" t="s">
        <v>1348</v>
      </c>
      <c r="DD3" s="17" t="s">
        <v>475</v>
      </c>
      <c r="DE3" s="17" t="s">
        <v>477</v>
      </c>
      <c r="DF3" s="17" t="s">
        <v>264</v>
      </c>
      <c r="DG3" s="17" t="s">
        <v>231</v>
      </c>
      <c r="DH3" s="17" t="s">
        <v>231</v>
      </c>
      <c r="DI3" s="17" t="s">
        <v>231</v>
      </c>
      <c r="DJ3" s="17" t="s">
        <v>1350</v>
      </c>
      <c r="DK3" s="17" t="s">
        <v>481</v>
      </c>
      <c r="DL3" s="17" t="s">
        <v>483</v>
      </c>
      <c r="DM3" s="17" t="s">
        <v>488</v>
      </c>
      <c r="DN3" s="17"/>
      <c r="DO3" s="17"/>
      <c r="DP3" s="17"/>
      <c r="DQ3" s="17" t="s">
        <v>232</v>
      </c>
      <c r="DR3" s="17" t="s">
        <v>1353</v>
      </c>
      <c r="DS3" s="17" t="s">
        <v>493</v>
      </c>
      <c r="DT3" s="17" t="s">
        <v>495</v>
      </c>
      <c r="DU3" s="17" t="s">
        <v>499</v>
      </c>
      <c r="DV3" s="17"/>
      <c r="DW3" s="17" t="s">
        <v>232</v>
      </c>
      <c r="DX3" s="17" t="s">
        <v>1355</v>
      </c>
      <c r="DY3" s="17" t="s">
        <v>504</v>
      </c>
      <c r="DZ3" s="17" t="s">
        <v>506</v>
      </c>
      <c r="EA3" s="17" t="s">
        <v>511</v>
      </c>
      <c r="EB3" s="17"/>
      <c r="EC3" s="17" t="s">
        <v>232</v>
      </c>
      <c r="ED3" s="17" t="s">
        <v>1357</v>
      </c>
      <c r="EE3" s="17" t="s">
        <v>516</v>
      </c>
      <c r="EF3" s="17" t="s">
        <v>518</v>
      </c>
      <c r="EG3" s="17" t="s">
        <v>523</v>
      </c>
      <c r="EH3" s="17"/>
      <c r="EI3" s="17"/>
      <c r="EJ3" s="17"/>
      <c r="EK3" s="17"/>
      <c r="EL3" s="17"/>
      <c r="EM3" s="17"/>
      <c r="EN3" s="17" t="s">
        <v>923</v>
      </c>
      <c r="EO3" s="17" t="s">
        <v>1359</v>
      </c>
      <c r="EP3" s="17" t="s">
        <v>2172</v>
      </c>
      <c r="EQ3" s="17" t="s">
        <v>1361</v>
      </c>
      <c r="ER3" s="17" t="s">
        <v>344</v>
      </c>
      <c r="ES3" s="17" t="s">
        <v>528</v>
      </c>
      <c r="ET3" s="17" t="s">
        <v>343</v>
      </c>
      <c r="EU3" s="17" t="s">
        <v>1363</v>
      </c>
      <c r="EV3" s="17" t="s">
        <v>344</v>
      </c>
      <c r="EW3" s="17" t="s">
        <v>532</v>
      </c>
      <c r="EX3" s="17" t="s">
        <v>344</v>
      </c>
      <c r="EY3" s="17" t="s">
        <v>536</v>
      </c>
      <c r="EZ3" s="17" t="s">
        <v>231</v>
      </c>
      <c r="FA3" s="17" t="s">
        <v>351</v>
      </c>
      <c r="FB3" s="17" t="s">
        <v>231</v>
      </c>
      <c r="FC3" s="17" t="s">
        <v>231</v>
      </c>
      <c r="FD3" s="17" t="s">
        <v>231</v>
      </c>
      <c r="FE3" s="17" t="s">
        <v>231</v>
      </c>
      <c r="FF3" s="17" t="s">
        <v>1365</v>
      </c>
      <c r="FG3" s="17" t="s">
        <v>231</v>
      </c>
      <c r="FH3" s="17" t="s">
        <v>231</v>
      </c>
      <c r="FI3" s="17"/>
      <c r="FJ3" s="17" t="s">
        <v>2178</v>
      </c>
    </row>
    <row r="4" customFormat="false" ht="15" hidden="false" customHeight="false" outlineLevel="0" collapsed="false">
      <c r="A4" s="17" t="s">
        <v>2227</v>
      </c>
      <c r="B4" s="17" t="s">
        <v>2228</v>
      </c>
      <c r="C4" s="17" t="s">
        <v>2229</v>
      </c>
      <c r="D4" s="17" t="s">
        <v>2359</v>
      </c>
      <c r="E4" s="17"/>
      <c r="F4" s="17" t="s">
        <v>2229</v>
      </c>
      <c r="G4" s="17" t="s">
        <v>2228</v>
      </c>
      <c r="H4" s="17" t="s">
        <v>2230</v>
      </c>
      <c r="I4" s="17" t="s">
        <v>2231</v>
      </c>
      <c r="J4" s="17" t="s">
        <v>2232</v>
      </c>
      <c r="K4" s="17" t="s">
        <v>2115</v>
      </c>
      <c r="L4" s="17" t="s">
        <v>2233</v>
      </c>
      <c r="M4" s="17" t="s">
        <v>2117</v>
      </c>
      <c r="N4" s="17" t="s">
        <v>2118</v>
      </c>
      <c r="O4" s="17" t="s">
        <v>264</v>
      </c>
      <c r="P4" s="17"/>
      <c r="Q4" s="17" t="s">
        <v>231</v>
      </c>
      <c r="R4" s="17" t="s">
        <v>185</v>
      </c>
      <c r="S4" s="17" t="s">
        <v>1367</v>
      </c>
      <c r="T4" s="17" t="s">
        <v>2121</v>
      </c>
      <c r="U4" s="17" t="s">
        <v>1369</v>
      </c>
      <c r="V4" s="17" t="s">
        <v>540</v>
      </c>
      <c r="W4" s="17" t="s">
        <v>542</v>
      </c>
      <c r="X4" s="17" t="s">
        <v>546</v>
      </c>
      <c r="Y4" s="17" t="s">
        <v>548</v>
      </c>
      <c r="Z4" s="17" t="s">
        <v>264</v>
      </c>
      <c r="AA4" s="17" t="s">
        <v>1371</v>
      </c>
      <c r="AB4" s="17" t="s">
        <v>2125</v>
      </c>
      <c r="AC4" s="17" t="s">
        <v>1373</v>
      </c>
      <c r="AD4" s="17" t="s">
        <v>2238</v>
      </c>
      <c r="AE4" s="17"/>
      <c r="AF4" s="17" t="s">
        <v>1375</v>
      </c>
      <c r="AG4" s="17" t="s">
        <v>2129</v>
      </c>
      <c r="AH4" s="17" t="s">
        <v>1377</v>
      </c>
      <c r="AI4" s="17" t="s">
        <v>213</v>
      </c>
      <c r="AJ4" s="17" t="s">
        <v>551</v>
      </c>
      <c r="AK4" s="17" t="s">
        <v>799</v>
      </c>
      <c r="AL4" s="17" t="s">
        <v>1379</v>
      </c>
      <c r="AM4" s="17" t="s">
        <v>264</v>
      </c>
      <c r="AN4" s="17" t="s">
        <v>220</v>
      </c>
      <c r="AO4" s="17" t="s">
        <v>1381</v>
      </c>
      <c r="AP4" s="17" t="s">
        <v>220</v>
      </c>
      <c r="AQ4" s="17" t="s">
        <v>555</v>
      </c>
      <c r="AR4" s="17" t="s">
        <v>232</v>
      </c>
      <c r="AS4" s="17" t="s">
        <v>1383</v>
      </c>
      <c r="AT4" s="17" t="s">
        <v>232</v>
      </c>
      <c r="AU4" s="17" t="s">
        <v>1385</v>
      </c>
      <c r="AV4" s="17" t="s">
        <v>559</v>
      </c>
      <c r="AW4" s="17" t="s">
        <v>563</v>
      </c>
      <c r="AX4" s="17" t="s">
        <v>1387</v>
      </c>
      <c r="AY4" s="17"/>
      <c r="AZ4" s="17" t="s">
        <v>569</v>
      </c>
      <c r="BA4" s="17" t="s">
        <v>573</v>
      </c>
      <c r="BB4" s="17" t="s">
        <v>578</v>
      </c>
      <c r="BC4" s="17" t="s">
        <v>580</v>
      </c>
      <c r="BD4" s="17"/>
      <c r="BE4" s="17" t="s">
        <v>589</v>
      </c>
      <c r="BF4" s="17" t="s">
        <v>591</v>
      </c>
      <c r="BG4" s="17"/>
      <c r="BH4" s="17" t="s">
        <v>597</v>
      </c>
      <c r="BI4" s="17" t="s">
        <v>599</v>
      </c>
      <c r="BJ4" s="17" t="s">
        <v>604</v>
      </c>
      <c r="BK4" s="17" t="s">
        <v>597</v>
      </c>
      <c r="BL4" s="17" t="s">
        <v>611</v>
      </c>
      <c r="BM4" s="17" t="s">
        <v>2142</v>
      </c>
      <c r="BN4" s="17" t="s">
        <v>1391</v>
      </c>
      <c r="BO4" s="17" t="s">
        <v>467</v>
      </c>
      <c r="BP4" s="17" t="s">
        <v>1393</v>
      </c>
      <c r="BQ4" s="17"/>
      <c r="BR4" s="17"/>
      <c r="BS4" s="17" t="s">
        <v>615</v>
      </c>
      <c r="BT4" s="17" t="s">
        <v>617</v>
      </c>
      <c r="BU4" s="17" t="s">
        <v>621</v>
      </c>
      <c r="BV4" s="17" t="s">
        <v>2147</v>
      </c>
      <c r="BW4" s="17" t="s">
        <v>1395</v>
      </c>
      <c r="BX4" s="17" t="s">
        <v>626</v>
      </c>
      <c r="BY4" s="17" t="s">
        <v>628</v>
      </c>
      <c r="BZ4" s="17" t="s">
        <v>2206</v>
      </c>
      <c r="CA4" s="17" t="s">
        <v>232</v>
      </c>
      <c r="CB4" s="17" t="s">
        <v>231</v>
      </c>
      <c r="CC4" s="17" t="s">
        <v>633</v>
      </c>
      <c r="CD4" s="17" t="s">
        <v>2249</v>
      </c>
      <c r="CE4" s="17" t="s">
        <v>1397</v>
      </c>
      <c r="CF4" s="17" t="s">
        <v>231</v>
      </c>
      <c r="CG4" s="17" t="s">
        <v>638</v>
      </c>
      <c r="CH4" s="17" t="s">
        <v>467</v>
      </c>
      <c r="CI4" s="17" t="s">
        <v>645</v>
      </c>
      <c r="CJ4" s="17"/>
      <c r="CK4" s="17" t="s">
        <v>651</v>
      </c>
      <c r="CL4" s="17"/>
      <c r="CM4" s="17" t="s">
        <v>660</v>
      </c>
      <c r="CN4" s="17" t="s">
        <v>662</v>
      </c>
      <c r="CO4" s="17" t="s">
        <v>264</v>
      </c>
      <c r="CP4" s="17" t="s">
        <v>1399</v>
      </c>
      <c r="CQ4" s="17"/>
      <c r="CR4" s="17" t="s">
        <v>2252</v>
      </c>
      <c r="CS4" s="17" t="s">
        <v>1401</v>
      </c>
      <c r="CT4" s="17" t="s">
        <v>859</v>
      </c>
      <c r="CU4" s="17" t="s">
        <v>1403</v>
      </c>
      <c r="CV4" s="17" t="s">
        <v>670</v>
      </c>
      <c r="CW4" s="17" t="s">
        <v>672</v>
      </c>
      <c r="CX4" s="17" t="s">
        <v>2255</v>
      </c>
      <c r="CY4" s="17" t="s">
        <v>1405</v>
      </c>
      <c r="CZ4" s="17" t="s">
        <v>676</v>
      </c>
      <c r="DA4" s="17" t="s">
        <v>678</v>
      </c>
      <c r="DB4" s="17" t="s">
        <v>799</v>
      </c>
      <c r="DC4" s="17" t="s">
        <v>1407</v>
      </c>
      <c r="DD4" s="17" t="s">
        <v>682</v>
      </c>
      <c r="DE4" s="17" t="s">
        <v>684</v>
      </c>
      <c r="DF4" s="17" t="s">
        <v>264</v>
      </c>
      <c r="DG4" s="17" t="s">
        <v>231</v>
      </c>
      <c r="DH4" s="17" t="s">
        <v>231</v>
      </c>
      <c r="DI4" s="17" t="s">
        <v>231</v>
      </c>
      <c r="DJ4" s="17" t="s">
        <v>1409</v>
      </c>
      <c r="DK4" s="17" t="s">
        <v>688</v>
      </c>
      <c r="DL4" s="17" t="s">
        <v>690</v>
      </c>
      <c r="DM4" s="17" t="s">
        <v>695</v>
      </c>
      <c r="DN4" s="17"/>
      <c r="DO4" s="17"/>
      <c r="DP4" s="17"/>
      <c r="DQ4" s="17" t="s">
        <v>232</v>
      </c>
      <c r="DR4" s="17" t="s">
        <v>1411</v>
      </c>
      <c r="DS4" s="17" t="s">
        <v>699</v>
      </c>
      <c r="DT4" s="17" t="s">
        <v>701</v>
      </c>
      <c r="DU4" s="17" t="s">
        <v>707</v>
      </c>
      <c r="DV4" s="17"/>
      <c r="DW4" s="17" t="s">
        <v>232</v>
      </c>
      <c r="DX4" s="17" t="s">
        <v>1413</v>
      </c>
      <c r="DY4" s="17" t="s">
        <v>711</v>
      </c>
      <c r="DZ4" s="17" t="s">
        <v>713</v>
      </c>
      <c r="EA4" s="17" t="s">
        <v>716</v>
      </c>
      <c r="EB4" s="17"/>
      <c r="EC4" s="17" t="s">
        <v>232</v>
      </c>
      <c r="ED4" s="17" t="s">
        <v>1415</v>
      </c>
      <c r="EE4" s="17" t="s">
        <v>720</v>
      </c>
      <c r="EF4" s="17" t="s">
        <v>722</v>
      </c>
      <c r="EG4" s="17" t="s">
        <v>725</v>
      </c>
      <c r="EH4" s="17"/>
      <c r="EI4" s="17"/>
      <c r="EJ4" s="17"/>
      <c r="EK4" s="17"/>
      <c r="EL4" s="17"/>
      <c r="EM4" s="17"/>
      <c r="EN4" s="17" t="s">
        <v>731</v>
      </c>
      <c r="EO4" s="17" t="s">
        <v>733</v>
      </c>
      <c r="EP4" s="17" t="s">
        <v>2262</v>
      </c>
      <c r="EQ4" s="17" t="s">
        <v>1417</v>
      </c>
      <c r="ER4" s="17" t="s">
        <v>343</v>
      </c>
      <c r="ES4" s="17" t="s">
        <v>1419</v>
      </c>
      <c r="ET4" s="17" t="s">
        <v>344</v>
      </c>
      <c r="EU4" s="17" t="s">
        <v>740</v>
      </c>
      <c r="EV4" s="17" t="s">
        <v>344</v>
      </c>
      <c r="EW4" s="17" t="s">
        <v>743</v>
      </c>
      <c r="EX4" s="17" t="s">
        <v>344</v>
      </c>
      <c r="EY4" s="17" t="s">
        <v>746</v>
      </c>
      <c r="EZ4" s="17" t="s">
        <v>231</v>
      </c>
      <c r="FA4" s="17" t="s">
        <v>351</v>
      </c>
      <c r="FB4" s="17" t="s">
        <v>232</v>
      </c>
      <c r="FC4" s="17" t="s">
        <v>231</v>
      </c>
      <c r="FD4" s="17" t="s">
        <v>231</v>
      </c>
      <c r="FE4" s="17" t="s">
        <v>231</v>
      </c>
      <c r="FF4" s="17" t="s">
        <v>1421</v>
      </c>
      <c r="FG4" s="17" t="s">
        <v>231</v>
      </c>
      <c r="FH4" s="17" t="s">
        <v>231</v>
      </c>
      <c r="FI4" s="17" t="s">
        <v>749</v>
      </c>
      <c r="FJ4" s="17" t="s">
        <v>2178</v>
      </c>
    </row>
    <row r="5" customFormat="false" ht="15" hidden="false" customHeight="false" outlineLevel="0" collapsed="false">
      <c r="A5" s="17" t="s">
        <v>2266</v>
      </c>
      <c r="B5" s="17" t="s">
        <v>2267</v>
      </c>
      <c r="C5" s="17" t="s">
        <v>2268</v>
      </c>
      <c r="D5" s="17" t="s">
        <v>2359</v>
      </c>
      <c r="E5" s="17"/>
      <c r="F5" s="17" t="s">
        <v>2268</v>
      </c>
      <c r="G5" s="17" t="s">
        <v>2267</v>
      </c>
      <c r="H5" s="17" t="s">
        <v>2269</v>
      </c>
      <c r="I5" s="17" t="s">
        <v>755</v>
      </c>
      <c r="J5" s="17" t="s">
        <v>2232</v>
      </c>
      <c r="K5" s="17" t="s">
        <v>2115</v>
      </c>
      <c r="L5" s="17" t="s">
        <v>2270</v>
      </c>
      <c r="M5" s="17" t="s">
        <v>2271</v>
      </c>
      <c r="N5" s="17" t="s">
        <v>2118</v>
      </c>
      <c r="O5" s="17" t="s">
        <v>759</v>
      </c>
      <c r="P5" s="17" t="s">
        <v>763</v>
      </c>
      <c r="Q5" s="17" t="s">
        <v>231</v>
      </c>
      <c r="R5" s="17" t="s">
        <v>185</v>
      </c>
      <c r="S5" s="17" t="s">
        <v>1423</v>
      </c>
      <c r="T5" s="17" t="s">
        <v>2121</v>
      </c>
      <c r="U5" s="17" t="s">
        <v>1425</v>
      </c>
      <c r="V5" s="17" t="s">
        <v>372</v>
      </c>
      <c r="W5" s="17" t="s">
        <v>768</v>
      </c>
      <c r="X5" s="17" t="s">
        <v>772</v>
      </c>
      <c r="Y5" s="17" t="s">
        <v>774</v>
      </c>
      <c r="Z5" s="17" t="s">
        <v>264</v>
      </c>
      <c r="AA5" s="17" t="s">
        <v>1427</v>
      </c>
      <c r="AB5" s="17" t="s">
        <v>2275</v>
      </c>
      <c r="AC5" s="17" t="s">
        <v>1429</v>
      </c>
      <c r="AD5" s="17" t="s">
        <v>2277</v>
      </c>
      <c r="AE5" s="17"/>
      <c r="AF5" s="17" t="s">
        <v>1431</v>
      </c>
      <c r="AG5" s="17" t="s">
        <v>2279</v>
      </c>
      <c r="AH5" s="17" t="s">
        <v>1433</v>
      </c>
      <c r="AI5" s="17"/>
      <c r="AJ5" s="17" t="s">
        <v>1435</v>
      </c>
      <c r="AK5" s="17" t="s">
        <v>799</v>
      </c>
      <c r="AL5" s="17" t="s">
        <v>1437</v>
      </c>
      <c r="AM5" s="17" t="s">
        <v>264</v>
      </c>
      <c r="AN5" s="17" t="s">
        <v>220</v>
      </c>
      <c r="AO5" s="17" t="s">
        <v>1439</v>
      </c>
      <c r="AP5" s="17" t="s">
        <v>220</v>
      </c>
      <c r="AQ5" s="17" t="s">
        <v>1441</v>
      </c>
      <c r="AR5" s="17" t="s">
        <v>232</v>
      </c>
      <c r="AS5" s="17" t="s">
        <v>1443</v>
      </c>
      <c r="AT5" s="17" t="s">
        <v>232</v>
      </c>
      <c r="AU5" s="17" t="s">
        <v>777</v>
      </c>
      <c r="AV5" s="17" t="s">
        <v>781</v>
      </c>
      <c r="AW5" s="17" t="s">
        <v>467</v>
      </c>
      <c r="AX5" s="17" t="s">
        <v>1445</v>
      </c>
      <c r="AY5" s="17" t="s">
        <v>1447</v>
      </c>
      <c r="AZ5" s="17"/>
      <c r="BA5" s="17" t="s">
        <v>785</v>
      </c>
      <c r="BB5" s="17" t="s">
        <v>789</v>
      </c>
      <c r="BC5" s="17" t="s">
        <v>791</v>
      </c>
      <c r="BD5" s="17" t="s">
        <v>795</v>
      </c>
      <c r="BE5" s="17" t="s">
        <v>2288</v>
      </c>
      <c r="BF5" s="17" t="s">
        <v>1449</v>
      </c>
      <c r="BG5" s="17"/>
      <c r="BH5" s="17" t="s">
        <v>597</v>
      </c>
      <c r="BI5" s="17" t="s">
        <v>801</v>
      </c>
      <c r="BJ5" s="17" t="s">
        <v>264</v>
      </c>
      <c r="BK5" s="17" t="s">
        <v>2140</v>
      </c>
      <c r="BL5" s="17" t="s">
        <v>1452</v>
      </c>
      <c r="BM5" s="17" t="s">
        <v>2142</v>
      </c>
      <c r="BN5" s="17" t="s">
        <v>1454</v>
      </c>
      <c r="BO5" s="17" t="s">
        <v>467</v>
      </c>
      <c r="BP5" s="17" t="s">
        <v>1456</v>
      </c>
      <c r="BQ5" s="17"/>
      <c r="BR5" s="17"/>
      <c r="BS5" s="17" t="s">
        <v>805</v>
      </c>
      <c r="BT5" s="17" t="s">
        <v>807</v>
      </c>
      <c r="BU5" s="17"/>
      <c r="BV5" s="17" t="s">
        <v>2293</v>
      </c>
      <c r="BW5" s="17" t="s">
        <v>1458</v>
      </c>
      <c r="BX5" s="17" t="s">
        <v>814</v>
      </c>
      <c r="BY5" s="17" t="s">
        <v>816</v>
      </c>
      <c r="BZ5" s="17" t="s">
        <v>2206</v>
      </c>
      <c r="CA5" s="17" t="s">
        <v>232</v>
      </c>
      <c r="CB5" s="17" t="s">
        <v>231</v>
      </c>
      <c r="CC5" s="17" t="s">
        <v>1460</v>
      </c>
      <c r="CD5" s="17" t="s">
        <v>822</v>
      </c>
      <c r="CE5" s="17" t="s">
        <v>824</v>
      </c>
      <c r="CF5" s="17" t="s">
        <v>232</v>
      </c>
      <c r="CG5" s="17" t="s">
        <v>1462</v>
      </c>
      <c r="CH5" s="17" t="s">
        <v>829</v>
      </c>
      <c r="CI5" s="17" t="s">
        <v>831</v>
      </c>
      <c r="CJ5" s="17" t="s">
        <v>835</v>
      </c>
      <c r="CK5" s="17" t="s">
        <v>837</v>
      </c>
      <c r="CL5" s="17"/>
      <c r="CM5" s="17" t="s">
        <v>841</v>
      </c>
      <c r="CN5" s="17" t="s">
        <v>843</v>
      </c>
      <c r="CO5" s="17" t="s">
        <v>264</v>
      </c>
      <c r="CP5" s="17" t="s">
        <v>1464</v>
      </c>
      <c r="CQ5" s="17" t="s">
        <v>849</v>
      </c>
      <c r="CR5" s="17" t="s">
        <v>854</v>
      </c>
      <c r="CS5" s="17" t="s">
        <v>856</v>
      </c>
      <c r="CT5" s="17" t="s">
        <v>257</v>
      </c>
      <c r="CU5" s="17" t="s">
        <v>861</v>
      </c>
      <c r="CV5" s="17" t="s">
        <v>865</v>
      </c>
      <c r="CW5" s="17" t="s">
        <v>867</v>
      </c>
      <c r="CX5" s="17" t="s">
        <v>467</v>
      </c>
      <c r="CY5" s="17" t="s">
        <v>1466</v>
      </c>
      <c r="CZ5" s="17" t="s">
        <v>871</v>
      </c>
      <c r="DA5" s="17" t="s">
        <v>873</v>
      </c>
      <c r="DB5" s="17" t="s">
        <v>799</v>
      </c>
      <c r="DC5" s="17" t="s">
        <v>1468</v>
      </c>
      <c r="DD5" s="17" t="s">
        <v>876</v>
      </c>
      <c r="DE5" s="17" t="s">
        <v>878</v>
      </c>
      <c r="DF5" s="17" t="s">
        <v>882</v>
      </c>
      <c r="DG5" s="17" t="s">
        <v>231</v>
      </c>
      <c r="DH5" s="17" t="s">
        <v>231</v>
      </c>
      <c r="DI5" s="17" t="s">
        <v>231</v>
      </c>
      <c r="DJ5" s="17" t="s">
        <v>884</v>
      </c>
      <c r="DK5" s="17" t="s">
        <v>892</v>
      </c>
      <c r="DL5" s="17" t="s">
        <v>894</v>
      </c>
      <c r="DM5" s="17" t="s">
        <v>898</v>
      </c>
      <c r="DN5" s="17"/>
      <c r="DO5" s="17"/>
      <c r="DP5" s="17"/>
      <c r="DQ5" s="17" t="s">
        <v>232</v>
      </c>
      <c r="DR5" s="17" t="s">
        <v>1470</v>
      </c>
      <c r="DS5" s="17" t="s">
        <v>2360</v>
      </c>
      <c r="DT5" s="17" t="s">
        <v>1472</v>
      </c>
      <c r="DU5" s="17" t="s">
        <v>901</v>
      </c>
      <c r="DV5" s="17"/>
      <c r="DW5" s="17" t="s">
        <v>232</v>
      </c>
      <c r="DX5" s="17" t="s">
        <v>1474</v>
      </c>
      <c r="DY5" s="17" t="s">
        <v>904</v>
      </c>
      <c r="DZ5" s="17" t="s">
        <v>906</v>
      </c>
      <c r="EA5" s="17" t="s">
        <v>909</v>
      </c>
      <c r="EB5" s="17"/>
      <c r="EC5" s="17" t="s">
        <v>232</v>
      </c>
      <c r="ED5" s="17" t="s">
        <v>1476</v>
      </c>
      <c r="EE5" s="17" t="s">
        <v>515</v>
      </c>
      <c r="EF5" s="17" t="s">
        <v>915</v>
      </c>
      <c r="EG5" s="17" t="s">
        <v>919</v>
      </c>
      <c r="EH5" s="17"/>
      <c r="EI5" s="17"/>
      <c r="EJ5" s="17"/>
      <c r="EK5" s="17"/>
      <c r="EL5" s="17"/>
      <c r="EM5" s="17"/>
      <c r="EN5" s="17" t="s">
        <v>731</v>
      </c>
      <c r="EO5" s="17" t="s">
        <v>925</v>
      </c>
      <c r="EP5" s="17" t="s">
        <v>2262</v>
      </c>
      <c r="EQ5" s="17" t="s">
        <v>1478</v>
      </c>
      <c r="ER5" s="17" t="s">
        <v>344</v>
      </c>
      <c r="ES5" s="17" t="s">
        <v>928</v>
      </c>
      <c r="ET5" s="17" t="s">
        <v>344</v>
      </c>
      <c r="EU5" s="17" t="s">
        <v>1480</v>
      </c>
      <c r="EV5" s="17" t="s">
        <v>344</v>
      </c>
      <c r="EW5" s="17" t="s">
        <v>1482</v>
      </c>
      <c r="EX5" s="17" t="s">
        <v>344</v>
      </c>
      <c r="EY5" s="17" t="s">
        <v>1484</v>
      </c>
      <c r="EZ5" s="17" t="s">
        <v>231</v>
      </c>
      <c r="FA5" s="17" t="s">
        <v>350</v>
      </c>
      <c r="FB5" s="17" t="s">
        <v>231</v>
      </c>
      <c r="FC5" s="17" t="s">
        <v>231</v>
      </c>
      <c r="FD5" s="17" t="s">
        <v>231</v>
      </c>
      <c r="FE5" s="17" t="s">
        <v>231</v>
      </c>
      <c r="FF5" s="17" t="s">
        <v>1486</v>
      </c>
      <c r="FG5" s="17" t="s">
        <v>231</v>
      </c>
      <c r="FH5" s="17" t="s">
        <v>231</v>
      </c>
      <c r="FI5" s="17"/>
      <c r="FJ5" s="17" t="s">
        <v>2178</v>
      </c>
    </row>
    <row r="6" customFormat="false" ht="15" hidden="false" customHeight="false" outlineLevel="0" collapsed="false">
      <c r="A6" s="17" t="s">
        <v>2311</v>
      </c>
      <c r="B6" s="17" t="s">
        <v>2312</v>
      </c>
      <c r="C6" s="17" t="s">
        <v>2313</v>
      </c>
      <c r="D6" s="17" t="s">
        <v>2359</v>
      </c>
      <c r="E6" s="17"/>
      <c r="F6" s="17" t="s">
        <v>2313</v>
      </c>
      <c r="G6" s="17" t="s">
        <v>2312</v>
      </c>
      <c r="H6" s="17" t="s">
        <v>2314</v>
      </c>
      <c r="I6" s="17" t="s">
        <v>932</v>
      </c>
      <c r="J6" s="17" t="s">
        <v>936</v>
      </c>
      <c r="K6" s="17" t="s">
        <v>2185</v>
      </c>
      <c r="L6" s="17" t="s">
        <v>2315</v>
      </c>
      <c r="M6" s="17" t="s">
        <v>2316</v>
      </c>
      <c r="N6" s="17"/>
      <c r="O6" s="17" t="s">
        <v>264</v>
      </c>
      <c r="P6" s="17"/>
      <c r="Q6" s="17" t="s">
        <v>231</v>
      </c>
      <c r="R6" s="17" t="s">
        <v>2317</v>
      </c>
      <c r="S6" s="17" t="s">
        <v>1488</v>
      </c>
      <c r="T6" s="17" t="s">
        <v>2121</v>
      </c>
      <c r="U6" s="17" t="s">
        <v>1490</v>
      </c>
      <c r="V6" s="17" t="s">
        <v>941</v>
      </c>
      <c r="W6" s="17" t="s">
        <v>943</v>
      </c>
      <c r="X6" s="17" t="s">
        <v>946</v>
      </c>
      <c r="Y6" s="17" t="s">
        <v>948</v>
      </c>
      <c r="Z6" s="17" t="s">
        <v>264</v>
      </c>
      <c r="AA6" s="17" t="s">
        <v>1492</v>
      </c>
      <c r="AB6" s="17" t="s">
        <v>2275</v>
      </c>
      <c r="AC6" s="17" t="s">
        <v>1494</v>
      </c>
      <c r="AD6" s="17" t="s">
        <v>952</v>
      </c>
      <c r="AE6" s="17"/>
      <c r="AF6" s="17" t="s">
        <v>954</v>
      </c>
      <c r="AG6" s="17" t="s">
        <v>962</v>
      </c>
      <c r="AH6" s="17" t="s">
        <v>964</v>
      </c>
      <c r="AI6" s="17"/>
      <c r="AJ6" s="17" t="s">
        <v>1496</v>
      </c>
      <c r="AK6" s="17" t="s">
        <v>799</v>
      </c>
      <c r="AL6" s="17" t="s">
        <v>969</v>
      </c>
      <c r="AM6" s="17" t="s">
        <v>264</v>
      </c>
      <c r="AN6" s="17" t="s">
        <v>2323</v>
      </c>
      <c r="AO6" s="17" t="s">
        <v>1498</v>
      </c>
      <c r="AP6" s="17" t="s">
        <v>976</v>
      </c>
      <c r="AQ6" s="17" t="s">
        <v>978</v>
      </c>
      <c r="AR6" s="17" t="s">
        <v>231</v>
      </c>
      <c r="AS6" s="17" t="s">
        <v>1500</v>
      </c>
      <c r="AT6" s="17" t="s">
        <v>231</v>
      </c>
      <c r="AU6" s="17" t="s">
        <v>1503</v>
      </c>
      <c r="AV6" s="17"/>
      <c r="AW6" s="17" t="s">
        <v>467</v>
      </c>
      <c r="AX6" s="17" t="s">
        <v>1505</v>
      </c>
      <c r="AY6" s="17" t="s">
        <v>1507</v>
      </c>
      <c r="AZ6" s="17"/>
      <c r="BA6" s="17" t="s">
        <v>981</v>
      </c>
      <c r="BB6" s="17" t="s">
        <v>986</v>
      </c>
      <c r="BC6" s="17" t="s">
        <v>988</v>
      </c>
      <c r="BD6" s="17" t="s">
        <v>993</v>
      </c>
      <c r="BE6" s="17" t="s">
        <v>2329</v>
      </c>
      <c r="BF6" s="17" t="s">
        <v>1510</v>
      </c>
      <c r="BG6" s="17"/>
      <c r="BH6" s="17" t="s">
        <v>597</v>
      </c>
      <c r="BI6" s="17" t="s">
        <v>1512</v>
      </c>
      <c r="BJ6" s="17" t="s">
        <v>264</v>
      </c>
      <c r="BK6" s="17" t="s">
        <v>2140</v>
      </c>
      <c r="BL6" s="17" t="s">
        <v>1514</v>
      </c>
      <c r="BM6" s="17" t="s">
        <v>2142</v>
      </c>
      <c r="BN6" s="17" t="s">
        <v>1516</v>
      </c>
      <c r="BO6" s="17" t="s">
        <v>997</v>
      </c>
      <c r="BP6" s="17" t="s">
        <v>999</v>
      </c>
      <c r="BQ6" s="17" t="s">
        <v>1003</v>
      </c>
      <c r="BR6" s="17"/>
      <c r="BS6" s="17" t="s">
        <v>2334</v>
      </c>
      <c r="BT6" s="17" t="s">
        <v>1518</v>
      </c>
      <c r="BU6" s="17"/>
      <c r="BV6" s="17" t="s">
        <v>2147</v>
      </c>
      <c r="BW6" s="17" t="s">
        <v>1520</v>
      </c>
      <c r="BX6" s="17" t="s">
        <v>814</v>
      </c>
      <c r="BY6" s="17" t="s">
        <v>1522</v>
      </c>
      <c r="BZ6" s="17" t="s">
        <v>467</v>
      </c>
      <c r="CA6" s="17" t="s">
        <v>231</v>
      </c>
      <c r="CB6" s="17" t="s">
        <v>231</v>
      </c>
      <c r="CC6" s="17" t="s">
        <v>1524</v>
      </c>
      <c r="CD6" s="17" t="s">
        <v>1012</v>
      </c>
      <c r="CE6" s="17" t="s">
        <v>1014</v>
      </c>
      <c r="CF6" s="17" t="s">
        <v>232</v>
      </c>
      <c r="CG6" s="17" t="s">
        <v>1526</v>
      </c>
      <c r="CH6" s="17" t="s">
        <v>829</v>
      </c>
      <c r="CI6" s="17" t="s">
        <v>1022</v>
      </c>
      <c r="CJ6" s="17" t="s">
        <v>2340</v>
      </c>
      <c r="CK6" s="17" t="s">
        <v>1528</v>
      </c>
      <c r="CL6" s="17"/>
      <c r="CM6" s="17" t="s">
        <v>1026</v>
      </c>
      <c r="CN6" s="17" t="s">
        <v>1028</v>
      </c>
      <c r="CO6" s="17" t="s">
        <v>264</v>
      </c>
      <c r="CP6" s="17" t="s">
        <v>1530</v>
      </c>
      <c r="CQ6" s="17" t="s">
        <v>1031</v>
      </c>
      <c r="CR6" s="17" t="s">
        <v>2343</v>
      </c>
      <c r="CS6" s="17" t="s">
        <v>1532</v>
      </c>
      <c r="CT6" s="17" t="s">
        <v>257</v>
      </c>
      <c r="CU6" s="17" t="s">
        <v>1534</v>
      </c>
      <c r="CV6" s="17" t="s">
        <v>264</v>
      </c>
      <c r="CW6" s="17" t="s">
        <v>1037</v>
      </c>
      <c r="CX6" s="17" t="s">
        <v>468</v>
      </c>
      <c r="CY6" s="17" t="s">
        <v>1536</v>
      </c>
      <c r="CZ6" s="17" t="s">
        <v>1041</v>
      </c>
      <c r="DA6" s="17" t="s">
        <v>1043</v>
      </c>
      <c r="DB6" s="17" t="s">
        <v>799</v>
      </c>
      <c r="DC6" s="17" t="s">
        <v>1538</v>
      </c>
      <c r="DD6" s="17" t="s">
        <v>264</v>
      </c>
      <c r="DE6" s="17" t="s">
        <v>1541</v>
      </c>
      <c r="DF6" s="17" t="s">
        <v>264</v>
      </c>
      <c r="DG6" s="17" t="s">
        <v>231</v>
      </c>
      <c r="DH6" s="17" t="s">
        <v>231</v>
      </c>
      <c r="DI6" s="17" t="s">
        <v>231</v>
      </c>
      <c r="DJ6" s="17" t="s">
        <v>1047</v>
      </c>
      <c r="DK6" s="17" t="s">
        <v>1053</v>
      </c>
      <c r="DL6" s="17" t="s">
        <v>1055</v>
      </c>
      <c r="DM6" s="17" t="s">
        <v>1059</v>
      </c>
      <c r="DN6" s="17"/>
      <c r="DO6" s="17"/>
      <c r="DP6" s="17"/>
      <c r="DQ6" s="17" t="s">
        <v>232</v>
      </c>
      <c r="DR6" s="17" t="s">
        <v>1545</v>
      </c>
      <c r="DS6" s="17" t="s">
        <v>1062</v>
      </c>
      <c r="DT6" s="17" t="s">
        <v>1064</v>
      </c>
      <c r="DU6" s="17" t="s">
        <v>1067</v>
      </c>
      <c r="DV6" s="17"/>
      <c r="DW6" s="17" t="s">
        <v>232</v>
      </c>
      <c r="DX6" s="17" t="s">
        <v>1547</v>
      </c>
      <c r="DY6" s="17" t="s">
        <v>1072</v>
      </c>
      <c r="DZ6" s="17" t="s">
        <v>1074</v>
      </c>
      <c r="EA6" s="17" t="s">
        <v>1078</v>
      </c>
      <c r="EB6" s="17"/>
      <c r="EC6" s="17" t="s">
        <v>232</v>
      </c>
      <c r="ED6" s="17" t="s">
        <v>1549</v>
      </c>
      <c r="EE6" s="17" t="s">
        <v>720</v>
      </c>
      <c r="EF6" s="17" t="s">
        <v>1084</v>
      </c>
      <c r="EG6" s="17" t="s">
        <v>1087</v>
      </c>
      <c r="EH6" s="17"/>
      <c r="EI6" s="17"/>
      <c r="EJ6" s="17"/>
      <c r="EK6" s="17"/>
      <c r="EL6" s="17"/>
      <c r="EM6" s="17"/>
      <c r="EN6" s="17" t="s">
        <v>923</v>
      </c>
      <c r="EO6" s="17" t="s">
        <v>1551</v>
      </c>
      <c r="EP6" s="17" t="s">
        <v>2172</v>
      </c>
      <c r="EQ6" s="17" t="s">
        <v>1553</v>
      </c>
      <c r="ER6" s="17" t="s">
        <v>343</v>
      </c>
      <c r="ES6" s="17" t="s">
        <v>1555</v>
      </c>
      <c r="ET6" s="17" t="s">
        <v>343</v>
      </c>
      <c r="EU6" s="17" t="s">
        <v>1557</v>
      </c>
      <c r="EV6" s="17" t="s">
        <v>344</v>
      </c>
      <c r="EW6" s="17" t="s">
        <v>1560</v>
      </c>
      <c r="EX6" s="17" t="s">
        <v>343</v>
      </c>
      <c r="EY6" s="17" t="s">
        <v>1093</v>
      </c>
      <c r="EZ6" s="17" t="s">
        <v>231</v>
      </c>
      <c r="FA6" s="17" t="s">
        <v>351</v>
      </c>
      <c r="FB6" s="17" t="s">
        <v>231</v>
      </c>
      <c r="FC6" s="17" t="s">
        <v>231</v>
      </c>
      <c r="FD6" s="17" t="s">
        <v>231</v>
      </c>
      <c r="FE6" s="17" t="s">
        <v>231</v>
      </c>
      <c r="FF6" s="17" t="s">
        <v>1097</v>
      </c>
      <c r="FG6" s="17" t="s">
        <v>231</v>
      </c>
      <c r="FH6" s="17" t="s">
        <v>231</v>
      </c>
      <c r="FI6" s="17"/>
      <c r="FJ6" s="17" t="s">
        <v>2178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sheetData>
    <row r="1" customFormat="false" ht="52.2" hidden="false" customHeight="false" outlineLevel="0" collapsed="false">
      <c r="A1" s="6" t="s">
        <v>1943</v>
      </c>
      <c r="B1" s="6" t="s">
        <v>1947</v>
      </c>
      <c r="C1" s="6" t="s">
        <v>2361</v>
      </c>
      <c r="D1" s="6" t="s">
        <v>2362</v>
      </c>
      <c r="E1" s="6" t="s">
        <v>2363</v>
      </c>
      <c r="F1" s="6" t="s">
        <v>2364</v>
      </c>
      <c r="G1" s="6" t="s">
        <v>2365</v>
      </c>
      <c r="H1" s="6" t="s">
        <v>2366</v>
      </c>
    </row>
    <row r="2" customFormat="false" ht="15" hidden="false" customHeight="false" outlineLevel="0" collapsed="false">
      <c r="A2" s="17" t="s">
        <v>2108</v>
      </c>
      <c r="B2" s="17"/>
      <c r="C2" s="17" t="s">
        <v>232</v>
      </c>
      <c r="D2" s="17" t="s">
        <v>1576</v>
      </c>
      <c r="E2" s="17" t="s">
        <v>1577</v>
      </c>
      <c r="F2" s="17" t="s">
        <v>1578</v>
      </c>
      <c r="G2" s="17" t="s">
        <v>1579</v>
      </c>
      <c r="H2" s="17" t="s">
        <v>1580</v>
      </c>
    </row>
    <row r="3" customFormat="false" ht="15" hidden="false" customHeight="false" outlineLevel="0" collapsed="false">
      <c r="A3" s="17" t="s">
        <v>2108</v>
      </c>
      <c r="B3" s="17"/>
      <c r="C3" s="17" t="s">
        <v>1581</v>
      </c>
      <c r="D3" s="17" t="s">
        <v>1582</v>
      </c>
      <c r="E3" s="17" t="s">
        <v>1583</v>
      </c>
      <c r="F3" s="17" t="s">
        <v>1578</v>
      </c>
      <c r="G3" s="17" t="s">
        <v>1584</v>
      </c>
      <c r="H3" s="17" t="s">
        <v>1580</v>
      </c>
    </row>
    <row r="4" customFormat="false" ht="15" hidden="false" customHeight="false" outlineLevel="0" collapsed="false">
      <c r="A4" s="17" t="s">
        <v>2108</v>
      </c>
      <c r="B4" s="17"/>
      <c r="C4" s="17" t="s">
        <v>1041</v>
      </c>
      <c r="D4" s="17" t="s">
        <v>1585</v>
      </c>
      <c r="E4" s="17" t="s">
        <v>1586</v>
      </c>
      <c r="F4" s="17" t="s">
        <v>1578</v>
      </c>
      <c r="G4" s="17" t="s">
        <v>1587</v>
      </c>
      <c r="H4" s="17" t="s">
        <v>1580</v>
      </c>
    </row>
    <row r="5" customFormat="false" ht="15" hidden="false" customHeight="false" outlineLevel="0" collapsed="false">
      <c r="A5" s="17" t="s">
        <v>2108</v>
      </c>
      <c r="B5" s="17"/>
      <c r="C5" s="17" t="s">
        <v>1040</v>
      </c>
      <c r="D5" s="17" t="s">
        <v>1588</v>
      </c>
      <c r="E5" s="17" t="s">
        <v>1589</v>
      </c>
      <c r="F5" s="17" t="s">
        <v>1590</v>
      </c>
      <c r="G5" s="17" t="s">
        <v>1591</v>
      </c>
      <c r="H5" s="17" t="s">
        <v>1592</v>
      </c>
    </row>
    <row r="6" customFormat="false" ht="15" hidden="false" customHeight="false" outlineLevel="0" collapsed="false">
      <c r="A6" s="17" t="s">
        <v>2108</v>
      </c>
      <c r="B6" s="17"/>
      <c r="C6" s="17" t="s">
        <v>1593</v>
      </c>
      <c r="D6" s="17" t="s">
        <v>1594</v>
      </c>
      <c r="E6" s="17" t="s">
        <v>1595</v>
      </c>
      <c r="F6" s="17" t="s">
        <v>1590</v>
      </c>
      <c r="G6" s="17" t="s">
        <v>1596</v>
      </c>
      <c r="H6" s="17" t="s">
        <v>1597</v>
      </c>
    </row>
    <row r="7" customFormat="false" ht="15" hidden="false" customHeight="false" outlineLevel="0" collapsed="false">
      <c r="A7" s="17" t="s">
        <v>2108</v>
      </c>
      <c r="B7" s="17"/>
      <c r="C7" s="17" t="s">
        <v>1598</v>
      </c>
      <c r="D7" s="17" t="s">
        <v>1599</v>
      </c>
      <c r="E7" s="17" t="s">
        <v>232</v>
      </c>
      <c r="F7" s="17" t="s">
        <v>1590</v>
      </c>
      <c r="G7" s="17" t="s">
        <v>1600</v>
      </c>
      <c r="H7" s="17" t="s">
        <v>1601</v>
      </c>
    </row>
    <row r="8" customFormat="false" ht="15" hidden="false" customHeight="false" outlineLevel="0" collapsed="false">
      <c r="A8" s="17" t="s">
        <v>2108</v>
      </c>
      <c r="B8" s="17"/>
      <c r="C8" s="17" t="s">
        <v>1605</v>
      </c>
      <c r="D8" s="17" t="s">
        <v>1606</v>
      </c>
      <c r="E8" s="17" t="s">
        <v>1607</v>
      </c>
      <c r="F8" s="17" t="s">
        <v>1608</v>
      </c>
      <c r="G8" s="17" t="s">
        <v>1609</v>
      </c>
      <c r="H8" s="17" t="s">
        <v>1610</v>
      </c>
    </row>
    <row r="9" customFormat="false" ht="15" hidden="false" customHeight="false" outlineLevel="0" collapsed="false">
      <c r="A9" s="17" t="s">
        <v>2108</v>
      </c>
      <c r="B9" s="17"/>
      <c r="C9" s="17" t="s">
        <v>1616</v>
      </c>
      <c r="D9" s="17" t="s">
        <v>1617</v>
      </c>
      <c r="E9" s="17" t="s">
        <v>1618</v>
      </c>
      <c r="F9" s="17" t="s">
        <v>1619</v>
      </c>
      <c r="G9" s="17" t="s">
        <v>1609</v>
      </c>
      <c r="H9" s="17" t="s">
        <v>1610</v>
      </c>
    </row>
    <row r="10" customFormat="false" ht="15" hidden="false" customHeight="false" outlineLevel="0" collapsed="false">
      <c r="A10" s="17" t="s">
        <v>2108</v>
      </c>
      <c r="B10" s="17"/>
      <c r="C10" s="17" t="s">
        <v>676</v>
      </c>
      <c r="D10" s="17" t="s">
        <v>1624</v>
      </c>
      <c r="E10" s="17" t="s">
        <v>1625</v>
      </c>
      <c r="F10" s="17" t="s">
        <v>1626</v>
      </c>
      <c r="G10" s="17" t="s">
        <v>1627</v>
      </c>
      <c r="H10" s="17" t="s">
        <v>1610</v>
      </c>
    </row>
    <row r="11" customFormat="false" ht="15" hidden="false" customHeight="false" outlineLevel="0" collapsed="false">
      <c r="A11" s="17" t="s">
        <v>2108</v>
      </c>
      <c r="B11" s="17"/>
      <c r="C11" s="17" t="s">
        <v>286</v>
      </c>
      <c r="D11" s="17" t="s">
        <v>1633</v>
      </c>
      <c r="E11" s="17" t="s">
        <v>1634</v>
      </c>
      <c r="F11" s="17" t="s">
        <v>1578</v>
      </c>
      <c r="G11" s="17" t="s">
        <v>1635</v>
      </c>
      <c r="H11" s="17" t="s">
        <v>1636</v>
      </c>
    </row>
    <row r="12" customFormat="false" ht="15" hidden="false" customHeight="false" outlineLevel="0" collapsed="false">
      <c r="A12" s="17" t="s">
        <v>2108</v>
      </c>
      <c r="B12" s="17"/>
      <c r="C12" s="17" t="s">
        <v>1641</v>
      </c>
      <c r="D12" s="17" t="s">
        <v>1642</v>
      </c>
      <c r="E12" s="17" t="s">
        <v>1643</v>
      </c>
      <c r="F12" s="17" t="s">
        <v>1578</v>
      </c>
      <c r="G12" s="17" t="s">
        <v>1644</v>
      </c>
      <c r="H12" s="17" t="s">
        <v>1645</v>
      </c>
    </row>
    <row r="13" customFormat="false" ht="15" hidden="false" customHeight="false" outlineLevel="0" collapsed="false">
      <c r="A13" s="17" t="s">
        <v>2108</v>
      </c>
      <c r="B13" s="17"/>
      <c r="C13" s="17" t="s">
        <v>272</v>
      </c>
      <c r="D13" s="17" t="s">
        <v>1646</v>
      </c>
      <c r="E13" s="17" t="s">
        <v>1647</v>
      </c>
      <c r="F13" s="17" t="s">
        <v>597</v>
      </c>
      <c r="G13" s="17" t="s">
        <v>1648</v>
      </c>
      <c r="H13" s="17" t="s">
        <v>1649</v>
      </c>
    </row>
    <row r="14" customFormat="false" ht="15" hidden="false" customHeight="false" outlineLevel="0" collapsed="false">
      <c r="A14" s="17" t="s">
        <v>2108</v>
      </c>
      <c r="B14" s="17"/>
      <c r="C14" s="17" t="s">
        <v>871</v>
      </c>
      <c r="D14" s="17" t="s">
        <v>1650</v>
      </c>
      <c r="E14" s="17" t="s">
        <v>1651</v>
      </c>
      <c r="F14" s="17" t="s">
        <v>597</v>
      </c>
      <c r="G14" s="17" t="s">
        <v>1652</v>
      </c>
      <c r="H14" s="17" t="s">
        <v>1653</v>
      </c>
    </row>
    <row r="15" customFormat="false" ht="15" hidden="false" customHeight="false" outlineLevel="0" collapsed="false">
      <c r="A15" s="17" t="s">
        <v>2108</v>
      </c>
      <c r="B15" s="17"/>
      <c r="C15" s="17" t="s">
        <v>1654</v>
      </c>
      <c r="D15" s="17" t="s">
        <v>1655</v>
      </c>
      <c r="E15" s="17" t="s">
        <v>1656</v>
      </c>
      <c r="F15" s="17" t="s">
        <v>1578</v>
      </c>
      <c r="G15" s="17" t="s">
        <v>1657</v>
      </c>
      <c r="H15" s="17" t="s">
        <v>1658</v>
      </c>
    </row>
    <row r="16" customFormat="false" ht="15" hidden="false" customHeight="false" outlineLevel="0" collapsed="false">
      <c r="A16" s="17" t="s">
        <v>2108</v>
      </c>
      <c r="B16" s="17"/>
      <c r="C16" s="17" t="s">
        <v>271</v>
      </c>
      <c r="D16" s="17" t="s">
        <v>1659</v>
      </c>
      <c r="E16" s="17" t="s">
        <v>1660</v>
      </c>
      <c r="F16" s="17" t="s">
        <v>1578</v>
      </c>
      <c r="G16" s="17" t="s">
        <v>1661</v>
      </c>
      <c r="H16" s="17" t="s">
        <v>1662</v>
      </c>
    </row>
    <row r="17" customFormat="false" ht="15" hidden="false" customHeight="false" outlineLevel="0" collapsed="false">
      <c r="A17" s="17" t="s">
        <v>2179</v>
      </c>
      <c r="B17" s="17"/>
      <c r="C17" s="17" t="s">
        <v>232</v>
      </c>
      <c r="D17" s="17" t="s">
        <v>1686</v>
      </c>
      <c r="E17" s="17" t="s">
        <v>1687</v>
      </c>
      <c r="F17" s="17" t="s">
        <v>1590</v>
      </c>
      <c r="G17" s="17" t="s">
        <v>1688</v>
      </c>
      <c r="H17" s="17" t="s">
        <v>1689</v>
      </c>
    </row>
    <row r="18" customFormat="false" ht="15" hidden="false" customHeight="false" outlineLevel="0" collapsed="false">
      <c r="A18" s="17" t="s">
        <v>2179</v>
      </c>
      <c r="B18" s="17"/>
      <c r="C18" s="17" t="s">
        <v>1581</v>
      </c>
      <c r="D18" s="17" t="s">
        <v>1695</v>
      </c>
      <c r="E18" s="17" t="s">
        <v>1041</v>
      </c>
      <c r="F18" s="17" t="s">
        <v>1696</v>
      </c>
      <c r="G18" s="17" t="s">
        <v>1697</v>
      </c>
      <c r="H18" s="17" t="s">
        <v>1698</v>
      </c>
    </row>
    <row r="19" customFormat="false" ht="15" hidden="false" customHeight="false" outlineLevel="0" collapsed="false">
      <c r="A19" s="17" t="s">
        <v>2179</v>
      </c>
      <c r="B19" s="17"/>
      <c r="C19" s="17" t="s">
        <v>1041</v>
      </c>
      <c r="D19" s="17" t="s">
        <v>1703</v>
      </c>
      <c r="E19" s="17" t="s">
        <v>1704</v>
      </c>
      <c r="F19" s="17" t="s">
        <v>1696</v>
      </c>
      <c r="G19" s="17" t="s">
        <v>1705</v>
      </c>
      <c r="H19" s="17" t="s">
        <v>1689</v>
      </c>
    </row>
    <row r="20" customFormat="false" ht="15" hidden="false" customHeight="false" outlineLevel="0" collapsed="false">
      <c r="A20" s="17" t="s">
        <v>2179</v>
      </c>
      <c r="B20" s="17"/>
      <c r="C20" s="17" t="s">
        <v>1040</v>
      </c>
      <c r="D20" s="17" t="s">
        <v>1709</v>
      </c>
      <c r="E20" s="17" t="s">
        <v>881</v>
      </c>
      <c r="F20" s="17" t="s">
        <v>1696</v>
      </c>
      <c r="G20" s="17" t="s">
        <v>1710</v>
      </c>
      <c r="H20" s="17" t="s">
        <v>1689</v>
      </c>
    </row>
    <row r="21" customFormat="false" ht="15" hidden="false" customHeight="false" outlineLevel="0" collapsed="false">
      <c r="A21" s="17" t="s">
        <v>2227</v>
      </c>
      <c r="B21" s="17"/>
      <c r="C21" s="17" t="s">
        <v>232</v>
      </c>
      <c r="D21" s="17" t="s">
        <v>1713</v>
      </c>
      <c r="E21" s="17" t="s">
        <v>1714</v>
      </c>
      <c r="F21" s="17" t="s">
        <v>1578</v>
      </c>
      <c r="G21" s="17" t="s">
        <v>1715</v>
      </c>
      <c r="H21" s="17" t="s">
        <v>1716</v>
      </c>
    </row>
    <row r="22" customFormat="false" ht="15" hidden="false" customHeight="false" outlineLevel="0" collapsed="false">
      <c r="A22" s="17" t="s">
        <v>2227</v>
      </c>
      <c r="B22" s="17"/>
      <c r="C22" s="17" t="s">
        <v>1581</v>
      </c>
      <c r="D22" s="17" t="s">
        <v>1717</v>
      </c>
      <c r="E22" s="17" t="s">
        <v>1718</v>
      </c>
      <c r="F22" s="17" t="s">
        <v>1578</v>
      </c>
      <c r="G22" s="17" t="s">
        <v>1719</v>
      </c>
      <c r="H22" s="17" t="s">
        <v>1716</v>
      </c>
    </row>
    <row r="23" customFormat="false" ht="15" hidden="false" customHeight="false" outlineLevel="0" collapsed="false">
      <c r="A23" s="17" t="s">
        <v>2227</v>
      </c>
      <c r="B23" s="17"/>
      <c r="C23" s="17" t="s">
        <v>1041</v>
      </c>
      <c r="D23" s="17" t="s">
        <v>1720</v>
      </c>
      <c r="E23" s="17" t="s">
        <v>1721</v>
      </c>
      <c r="F23" s="17" t="s">
        <v>1578</v>
      </c>
      <c r="G23" s="17" t="s">
        <v>1719</v>
      </c>
      <c r="H23" s="17" t="s">
        <v>1716</v>
      </c>
    </row>
    <row r="24" customFormat="false" ht="15" hidden="false" customHeight="false" outlineLevel="0" collapsed="false">
      <c r="A24" s="17" t="s">
        <v>2227</v>
      </c>
      <c r="B24" s="17"/>
      <c r="C24" s="17" t="s">
        <v>1040</v>
      </c>
      <c r="D24" s="17" t="s">
        <v>1722</v>
      </c>
      <c r="E24" s="17" t="s">
        <v>1723</v>
      </c>
      <c r="F24" s="17" t="s">
        <v>1578</v>
      </c>
      <c r="G24" s="17" t="s">
        <v>1719</v>
      </c>
      <c r="H24" s="17" t="s">
        <v>1716</v>
      </c>
    </row>
    <row r="25" customFormat="false" ht="15" hidden="false" customHeight="false" outlineLevel="0" collapsed="false">
      <c r="A25" s="17" t="s">
        <v>2227</v>
      </c>
      <c r="B25" s="17"/>
      <c r="C25" s="17" t="s">
        <v>1593</v>
      </c>
      <c r="D25" s="17" t="s">
        <v>1726</v>
      </c>
      <c r="E25" s="17" t="s">
        <v>1727</v>
      </c>
      <c r="F25" s="17" t="s">
        <v>264</v>
      </c>
      <c r="G25" s="17" t="s">
        <v>1728</v>
      </c>
      <c r="H25" s="17" t="s">
        <v>1729</v>
      </c>
    </row>
    <row r="26" customFormat="false" ht="15" hidden="false" customHeight="false" outlineLevel="0" collapsed="false">
      <c r="A26" s="17" t="s">
        <v>2227</v>
      </c>
      <c r="B26" s="17"/>
      <c r="C26" s="17" t="s">
        <v>1598</v>
      </c>
      <c r="D26" s="17" t="s">
        <v>1734</v>
      </c>
      <c r="E26" s="17" t="s">
        <v>1735</v>
      </c>
      <c r="F26" s="17" t="s">
        <v>264</v>
      </c>
      <c r="G26" s="17" t="s">
        <v>1736</v>
      </c>
      <c r="H26" s="17" t="s">
        <v>1729</v>
      </c>
    </row>
    <row r="27" customFormat="false" ht="15" hidden="false" customHeight="false" outlineLevel="0" collapsed="false">
      <c r="A27" s="17" t="s">
        <v>2227</v>
      </c>
      <c r="B27" s="17"/>
      <c r="C27" s="17" t="s">
        <v>1605</v>
      </c>
      <c r="D27" s="17" t="s">
        <v>1739</v>
      </c>
      <c r="E27" s="17" t="s">
        <v>1740</v>
      </c>
      <c r="F27" s="17" t="s">
        <v>264</v>
      </c>
      <c r="G27" s="17" t="s">
        <v>1741</v>
      </c>
      <c r="H27" s="17" t="s">
        <v>1729</v>
      </c>
    </row>
    <row r="28" customFormat="false" ht="15" hidden="false" customHeight="false" outlineLevel="0" collapsed="false">
      <c r="A28" s="17" t="s">
        <v>2227</v>
      </c>
      <c r="B28" s="17"/>
      <c r="C28" s="17" t="s">
        <v>1616</v>
      </c>
      <c r="D28" s="17" t="s">
        <v>1742</v>
      </c>
      <c r="E28" s="17" t="s">
        <v>1743</v>
      </c>
      <c r="F28" s="17" t="s">
        <v>264</v>
      </c>
      <c r="G28" s="17" t="s">
        <v>1741</v>
      </c>
      <c r="H28" s="17" t="s">
        <v>1729</v>
      </c>
    </row>
    <row r="29" customFormat="false" ht="15" hidden="false" customHeight="false" outlineLevel="0" collapsed="false">
      <c r="A29" s="17" t="s">
        <v>2227</v>
      </c>
      <c r="B29" s="17"/>
      <c r="C29" s="17" t="s">
        <v>676</v>
      </c>
      <c r="D29" s="17" t="s">
        <v>1745</v>
      </c>
      <c r="E29" s="17" t="s">
        <v>1746</v>
      </c>
      <c r="F29" s="17" t="s">
        <v>264</v>
      </c>
      <c r="G29" s="17" t="s">
        <v>1741</v>
      </c>
      <c r="H29" s="17" t="s">
        <v>1729</v>
      </c>
    </row>
    <row r="30" customFormat="false" ht="15" hidden="false" customHeight="false" outlineLevel="0" collapsed="false">
      <c r="A30" s="17" t="s">
        <v>2227</v>
      </c>
      <c r="B30" s="17"/>
      <c r="C30" s="17" t="s">
        <v>286</v>
      </c>
      <c r="D30" s="17" t="s">
        <v>1751</v>
      </c>
      <c r="E30" s="17" t="s">
        <v>1752</v>
      </c>
      <c r="F30" s="17" t="s">
        <v>264</v>
      </c>
      <c r="G30" s="17" t="s">
        <v>1741</v>
      </c>
      <c r="H30" s="17" t="s">
        <v>1729</v>
      </c>
    </row>
    <row r="31" customFormat="false" ht="15" hidden="false" customHeight="false" outlineLevel="0" collapsed="false">
      <c r="A31" s="17" t="s">
        <v>2227</v>
      </c>
      <c r="B31" s="17"/>
      <c r="C31" s="17" t="s">
        <v>1641</v>
      </c>
      <c r="D31" s="17" t="s">
        <v>1756</v>
      </c>
      <c r="E31" s="17" t="s">
        <v>1757</v>
      </c>
      <c r="F31" s="17" t="s">
        <v>264</v>
      </c>
      <c r="G31" s="17" t="s">
        <v>1741</v>
      </c>
      <c r="H31" s="17" t="s">
        <v>1729</v>
      </c>
    </row>
    <row r="32" customFormat="false" ht="15" hidden="false" customHeight="false" outlineLevel="0" collapsed="false">
      <c r="A32" s="17" t="s">
        <v>2227</v>
      </c>
      <c r="B32" s="17"/>
      <c r="C32" s="17" t="s">
        <v>272</v>
      </c>
      <c r="D32" s="17" t="s">
        <v>1761</v>
      </c>
      <c r="E32" s="17" t="s">
        <v>1762</v>
      </c>
      <c r="F32" s="17" t="s">
        <v>264</v>
      </c>
      <c r="G32" s="17" t="s">
        <v>1763</v>
      </c>
      <c r="H32" s="17" t="s">
        <v>1764</v>
      </c>
    </row>
    <row r="33" customFormat="false" ht="15" hidden="false" customHeight="false" outlineLevel="0" collapsed="false">
      <c r="A33" s="17" t="s">
        <v>2227</v>
      </c>
      <c r="B33" s="17"/>
      <c r="C33" s="17" t="s">
        <v>871</v>
      </c>
      <c r="D33" s="17" t="s">
        <v>1765</v>
      </c>
      <c r="E33" s="17" t="s">
        <v>1766</v>
      </c>
      <c r="F33" s="17" t="s">
        <v>264</v>
      </c>
      <c r="G33" s="17" t="s">
        <v>1767</v>
      </c>
      <c r="H33" s="17" t="s">
        <v>1764</v>
      </c>
    </row>
    <row r="34" customFormat="false" ht="15" hidden="false" customHeight="false" outlineLevel="0" collapsed="false">
      <c r="A34" s="17" t="s">
        <v>2227</v>
      </c>
      <c r="B34" s="17"/>
      <c r="C34" s="17" t="s">
        <v>1654</v>
      </c>
      <c r="D34" s="17" t="s">
        <v>1768</v>
      </c>
      <c r="E34" s="17" t="s">
        <v>1769</v>
      </c>
      <c r="F34" s="17" t="s">
        <v>264</v>
      </c>
      <c r="G34" s="17" t="s">
        <v>1770</v>
      </c>
      <c r="H34" s="17" t="s">
        <v>1764</v>
      </c>
    </row>
    <row r="35" customFormat="false" ht="15" hidden="false" customHeight="false" outlineLevel="0" collapsed="false">
      <c r="A35" s="17" t="s">
        <v>2227</v>
      </c>
      <c r="B35" s="17"/>
      <c r="C35" s="17" t="s">
        <v>271</v>
      </c>
      <c r="D35" s="17" t="s">
        <v>1771</v>
      </c>
      <c r="E35" s="17" t="s">
        <v>1772</v>
      </c>
      <c r="F35" s="17" t="s">
        <v>264</v>
      </c>
      <c r="G35" s="17" t="s">
        <v>1773</v>
      </c>
      <c r="H35" s="17" t="s">
        <v>1764</v>
      </c>
    </row>
    <row r="36" customFormat="false" ht="15" hidden="false" customHeight="false" outlineLevel="0" collapsed="false">
      <c r="A36" s="17" t="s">
        <v>2266</v>
      </c>
      <c r="B36" s="17"/>
      <c r="C36" s="17" t="s">
        <v>232</v>
      </c>
      <c r="D36" s="17" t="s">
        <v>1788</v>
      </c>
      <c r="E36" s="17" t="s">
        <v>1789</v>
      </c>
      <c r="F36" s="17" t="s">
        <v>1578</v>
      </c>
      <c r="G36" s="17" t="s">
        <v>1790</v>
      </c>
      <c r="H36" s="17" t="s">
        <v>1791</v>
      </c>
    </row>
    <row r="37" customFormat="false" ht="15" hidden="false" customHeight="false" outlineLevel="0" collapsed="false">
      <c r="A37" s="17" t="s">
        <v>2266</v>
      </c>
      <c r="B37" s="17"/>
      <c r="C37" s="17" t="s">
        <v>1581</v>
      </c>
      <c r="D37" s="17" t="s">
        <v>1796</v>
      </c>
      <c r="E37" s="17" t="s">
        <v>1797</v>
      </c>
      <c r="F37" s="17" t="s">
        <v>1578</v>
      </c>
      <c r="G37" s="17" t="s">
        <v>1798</v>
      </c>
      <c r="H37" s="17" t="s">
        <v>1791</v>
      </c>
    </row>
    <row r="38" customFormat="false" ht="15" hidden="false" customHeight="false" outlineLevel="0" collapsed="false">
      <c r="A38" s="17" t="s">
        <v>2266</v>
      </c>
      <c r="B38" s="17"/>
      <c r="C38" s="17" t="s">
        <v>1041</v>
      </c>
      <c r="D38" s="17" t="s">
        <v>1800</v>
      </c>
      <c r="E38" s="17" t="s">
        <v>1801</v>
      </c>
      <c r="F38" s="17" t="s">
        <v>1578</v>
      </c>
      <c r="G38" s="17" t="s">
        <v>1798</v>
      </c>
      <c r="H38" s="17" t="s">
        <v>1791</v>
      </c>
    </row>
    <row r="39" customFormat="false" ht="15" hidden="false" customHeight="false" outlineLevel="0" collapsed="false">
      <c r="A39" s="17" t="s">
        <v>2266</v>
      </c>
      <c r="B39" s="17"/>
      <c r="C39" s="17" t="s">
        <v>1040</v>
      </c>
      <c r="D39" s="17" t="s">
        <v>1803</v>
      </c>
      <c r="E39" s="17" t="s">
        <v>1804</v>
      </c>
      <c r="F39" s="17" t="s">
        <v>1578</v>
      </c>
      <c r="G39" s="17" t="s">
        <v>1798</v>
      </c>
      <c r="H39" s="17" t="s">
        <v>1791</v>
      </c>
    </row>
    <row r="40" customFormat="false" ht="15" hidden="false" customHeight="false" outlineLevel="0" collapsed="false">
      <c r="A40" s="17" t="s">
        <v>2266</v>
      </c>
      <c r="B40" s="17"/>
      <c r="C40" s="17" t="s">
        <v>1593</v>
      </c>
      <c r="D40" s="17" t="s">
        <v>1806</v>
      </c>
      <c r="E40" s="17" t="s">
        <v>1807</v>
      </c>
      <c r="F40" s="17" t="s">
        <v>1578</v>
      </c>
      <c r="G40" s="17" t="s">
        <v>1808</v>
      </c>
      <c r="H40" s="17" t="s">
        <v>1791</v>
      </c>
    </row>
    <row r="41" customFormat="false" ht="15" hidden="false" customHeight="false" outlineLevel="0" collapsed="false">
      <c r="A41" s="17" t="s">
        <v>2266</v>
      </c>
      <c r="B41" s="17"/>
      <c r="C41" s="17" t="s">
        <v>1598</v>
      </c>
      <c r="D41" s="17" t="s">
        <v>1811</v>
      </c>
      <c r="E41" s="17" t="s">
        <v>1812</v>
      </c>
      <c r="F41" s="17" t="s">
        <v>1578</v>
      </c>
      <c r="G41" s="17" t="s">
        <v>1813</v>
      </c>
      <c r="H41" s="17" t="s">
        <v>1791</v>
      </c>
    </row>
    <row r="42" customFormat="false" ht="15" hidden="false" customHeight="false" outlineLevel="0" collapsed="false">
      <c r="A42" s="17" t="s">
        <v>2266</v>
      </c>
      <c r="B42" s="17"/>
      <c r="C42" s="17" t="s">
        <v>1605</v>
      </c>
      <c r="D42" s="17" t="s">
        <v>1817</v>
      </c>
      <c r="E42" s="17" t="s">
        <v>1818</v>
      </c>
      <c r="F42" s="17" t="s">
        <v>1578</v>
      </c>
      <c r="G42" s="17" t="s">
        <v>1819</v>
      </c>
      <c r="H42" s="17" t="s">
        <v>1791</v>
      </c>
    </row>
    <row r="43" customFormat="false" ht="15" hidden="false" customHeight="false" outlineLevel="0" collapsed="false">
      <c r="A43" s="17" t="s">
        <v>2266</v>
      </c>
      <c r="B43" s="17"/>
      <c r="C43" s="17" t="s">
        <v>1616</v>
      </c>
      <c r="D43" s="17" t="s">
        <v>1820</v>
      </c>
      <c r="E43" s="17" t="s">
        <v>1821</v>
      </c>
      <c r="F43" s="17" t="s">
        <v>1578</v>
      </c>
      <c r="G43" s="17" t="s">
        <v>1819</v>
      </c>
      <c r="H43" s="17" t="s">
        <v>1791</v>
      </c>
    </row>
    <row r="44" customFormat="false" ht="15" hidden="false" customHeight="false" outlineLevel="0" collapsed="false">
      <c r="A44" s="17" t="s">
        <v>2266</v>
      </c>
      <c r="B44" s="17"/>
      <c r="C44" s="17" t="s">
        <v>676</v>
      </c>
      <c r="D44" s="17" t="s">
        <v>1823</v>
      </c>
      <c r="E44" s="17" t="s">
        <v>1824</v>
      </c>
      <c r="F44" s="17" t="s">
        <v>1825</v>
      </c>
      <c r="G44" s="17" t="s">
        <v>1826</v>
      </c>
      <c r="H44" s="17" t="s">
        <v>1827</v>
      </c>
    </row>
    <row r="45" customFormat="false" ht="15" hidden="false" customHeight="false" outlineLevel="0" collapsed="false">
      <c r="A45" s="17" t="s">
        <v>2266</v>
      </c>
      <c r="B45" s="17"/>
      <c r="C45" s="17" t="s">
        <v>286</v>
      </c>
      <c r="D45" s="17" t="s">
        <v>1834</v>
      </c>
      <c r="E45" s="17" t="s">
        <v>1835</v>
      </c>
      <c r="F45" s="17" t="s">
        <v>1825</v>
      </c>
      <c r="G45" s="17" t="s">
        <v>1836</v>
      </c>
      <c r="H45" s="17" t="s">
        <v>1827</v>
      </c>
    </row>
    <row r="46" customFormat="false" ht="15" hidden="false" customHeight="false" outlineLevel="0" collapsed="false">
      <c r="A46" s="17" t="s">
        <v>2266</v>
      </c>
      <c r="B46" s="17"/>
      <c r="C46" s="17" t="s">
        <v>1641</v>
      </c>
      <c r="D46" s="17" t="s">
        <v>1841</v>
      </c>
      <c r="E46" s="17" t="s">
        <v>1842</v>
      </c>
      <c r="F46" s="17" t="s">
        <v>1825</v>
      </c>
      <c r="G46" s="17" t="s">
        <v>1843</v>
      </c>
      <c r="H46" s="17" t="s">
        <v>1827</v>
      </c>
    </row>
    <row r="47" customFormat="false" ht="15" hidden="false" customHeight="false" outlineLevel="0" collapsed="false">
      <c r="A47" s="17" t="s">
        <v>2266</v>
      </c>
      <c r="B47" s="17"/>
      <c r="C47" s="17" t="s">
        <v>272</v>
      </c>
      <c r="D47" s="17" t="s">
        <v>1848</v>
      </c>
      <c r="E47" s="17" t="s">
        <v>1849</v>
      </c>
      <c r="F47" s="17" t="s">
        <v>1825</v>
      </c>
      <c r="G47" s="17" t="s">
        <v>1843</v>
      </c>
      <c r="H47" s="17" t="s">
        <v>1827</v>
      </c>
    </row>
    <row r="48" customFormat="false" ht="15" hidden="false" customHeight="false" outlineLevel="0" collapsed="false">
      <c r="A48" s="17" t="s">
        <v>2266</v>
      </c>
      <c r="B48" s="17"/>
      <c r="C48" s="17" t="s">
        <v>871</v>
      </c>
      <c r="D48" s="17" t="s">
        <v>1855</v>
      </c>
      <c r="E48" s="17" t="s">
        <v>1856</v>
      </c>
      <c r="F48" s="17" t="s">
        <v>1825</v>
      </c>
      <c r="G48" s="17" t="s">
        <v>1857</v>
      </c>
      <c r="H48" s="17" t="s">
        <v>1858</v>
      </c>
    </row>
    <row r="49" customFormat="false" ht="15" hidden="false" customHeight="false" outlineLevel="0" collapsed="false">
      <c r="A49" s="17" t="s">
        <v>2266</v>
      </c>
      <c r="B49" s="17"/>
      <c r="C49" s="17" t="s">
        <v>1654</v>
      </c>
      <c r="D49" s="17" t="s">
        <v>1863</v>
      </c>
      <c r="E49" s="17" t="s">
        <v>1864</v>
      </c>
      <c r="F49" s="17" t="s">
        <v>1825</v>
      </c>
      <c r="G49" s="17" t="s">
        <v>1865</v>
      </c>
      <c r="H49" s="17" t="s">
        <v>1858</v>
      </c>
    </row>
    <row r="50" customFormat="false" ht="15" hidden="false" customHeight="false" outlineLevel="0" collapsed="false">
      <c r="A50" s="17" t="s">
        <v>2266</v>
      </c>
      <c r="B50" s="17"/>
      <c r="C50" s="17" t="s">
        <v>271</v>
      </c>
      <c r="D50" s="17" t="s">
        <v>1866</v>
      </c>
      <c r="E50" s="17" t="s">
        <v>1867</v>
      </c>
      <c r="F50" s="17" t="s">
        <v>1825</v>
      </c>
      <c r="G50" s="17" t="s">
        <v>1865</v>
      </c>
      <c r="H50" s="17" t="s">
        <v>1858</v>
      </c>
    </row>
    <row r="51" customFormat="false" ht="15" hidden="false" customHeight="false" outlineLevel="0" collapsed="false">
      <c r="A51" s="17" t="s">
        <v>2266</v>
      </c>
      <c r="B51" s="17"/>
      <c r="C51" s="17" t="s">
        <v>1868</v>
      </c>
      <c r="D51" s="17" t="s">
        <v>1869</v>
      </c>
      <c r="E51" s="17" t="s">
        <v>1870</v>
      </c>
      <c r="F51" s="17" t="s">
        <v>1825</v>
      </c>
      <c r="G51" s="17" t="s">
        <v>1865</v>
      </c>
      <c r="H51" s="17" t="s">
        <v>1858</v>
      </c>
    </row>
    <row r="52" customFormat="false" ht="15" hidden="false" customHeight="false" outlineLevel="0" collapsed="false">
      <c r="A52" s="17" t="s">
        <v>2266</v>
      </c>
      <c r="B52" s="17"/>
      <c r="C52" s="17" t="s">
        <v>1871</v>
      </c>
      <c r="D52" s="17" t="s">
        <v>1872</v>
      </c>
      <c r="E52" s="17" t="s">
        <v>1873</v>
      </c>
      <c r="F52" s="17" t="s">
        <v>1825</v>
      </c>
      <c r="G52" s="17" t="s">
        <v>1865</v>
      </c>
      <c r="H52" s="17" t="s">
        <v>1858</v>
      </c>
    </row>
    <row r="53" customFormat="false" ht="15" hidden="false" customHeight="false" outlineLevel="0" collapsed="false">
      <c r="A53" s="17" t="s">
        <v>2266</v>
      </c>
      <c r="B53" s="17"/>
      <c r="C53" s="17" t="s">
        <v>1874</v>
      </c>
      <c r="D53" s="17" t="s">
        <v>1875</v>
      </c>
      <c r="E53" s="17" t="s">
        <v>1876</v>
      </c>
      <c r="F53" s="17" t="s">
        <v>1825</v>
      </c>
      <c r="G53" s="17" t="s">
        <v>1865</v>
      </c>
      <c r="H53" s="17" t="s">
        <v>1858</v>
      </c>
    </row>
    <row r="54" customFormat="false" ht="15" hidden="false" customHeight="false" outlineLevel="0" collapsed="false">
      <c r="A54" s="17" t="s">
        <v>2266</v>
      </c>
      <c r="B54" s="17"/>
      <c r="C54" s="17" t="s">
        <v>1878</v>
      </c>
      <c r="D54" s="17" t="s">
        <v>1879</v>
      </c>
      <c r="E54" s="17" t="s">
        <v>1880</v>
      </c>
      <c r="F54" s="17" t="s">
        <v>1825</v>
      </c>
      <c r="G54" s="17" t="s">
        <v>1881</v>
      </c>
      <c r="H54" s="17" t="s">
        <v>1858</v>
      </c>
    </row>
    <row r="55" customFormat="false" ht="15" hidden="false" customHeight="false" outlineLevel="0" collapsed="false">
      <c r="A55" s="17" t="s">
        <v>2266</v>
      </c>
      <c r="B55" s="17"/>
      <c r="C55" s="17" t="s">
        <v>881</v>
      </c>
      <c r="D55" s="17" t="s">
        <v>1885</v>
      </c>
      <c r="E55" s="17" t="s">
        <v>1886</v>
      </c>
      <c r="F55" s="17" t="s">
        <v>1825</v>
      </c>
      <c r="G55" s="17" t="s">
        <v>1881</v>
      </c>
      <c r="H55" s="17" t="s">
        <v>1858</v>
      </c>
    </row>
    <row r="56" customFormat="false" ht="15" hidden="false" customHeight="false" outlineLevel="0" collapsed="false">
      <c r="A56" s="17" t="s">
        <v>2266</v>
      </c>
      <c r="B56" s="17"/>
      <c r="C56" s="17" t="s">
        <v>287</v>
      </c>
      <c r="D56" s="17" t="s">
        <v>1887</v>
      </c>
      <c r="E56" s="17" t="s">
        <v>1888</v>
      </c>
      <c r="F56" s="17" t="s">
        <v>1825</v>
      </c>
      <c r="G56" s="17" t="s">
        <v>1889</v>
      </c>
      <c r="H56" s="17" t="s">
        <v>1858</v>
      </c>
    </row>
    <row r="57" customFormat="false" ht="15" hidden="false" customHeight="false" outlineLevel="0" collapsed="false">
      <c r="A57" s="17" t="s">
        <v>2266</v>
      </c>
      <c r="B57" s="17"/>
      <c r="C57" s="17" t="s">
        <v>1890</v>
      </c>
      <c r="D57" s="17" t="s">
        <v>1891</v>
      </c>
      <c r="E57" s="17" t="s">
        <v>1892</v>
      </c>
      <c r="F57" s="17" t="s">
        <v>1825</v>
      </c>
      <c r="G57" s="17" t="s">
        <v>1881</v>
      </c>
      <c r="H57" s="17" t="s">
        <v>1858</v>
      </c>
    </row>
    <row r="58" customFormat="false" ht="15" hidden="false" customHeight="false" outlineLevel="0" collapsed="false">
      <c r="A58" s="17" t="s">
        <v>2266</v>
      </c>
      <c r="B58" s="17"/>
      <c r="C58" s="17" t="s">
        <v>1893</v>
      </c>
      <c r="D58" s="17" t="s">
        <v>1894</v>
      </c>
      <c r="E58" s="17" t="s">
        <v>1895</v>
      </c>
      <c r="F58" s="17" t="s">
        <v>1825</v>
      </c>
      <c r="G58" s="17" t="s">
        <v>1881</v>
      </c>
      <c r="H58" s="17" t="s">
        <v>1858</v>
      </c>
    </row>
    <row r="59" customFormat="false" ht="15" hidden="false" customHeight="false" outlineLevel="0" collapsed="false">
      <c r="A59" s="17" t="s">
        <v>2266</v>
      </c>
      <c r="B59" s="17"/>
      <c r="C59" s="17" t="s">
        <v>1704</v>
      </c>
      <c r="D59" s="17" t="s">
        <v>1896</v>
      </c>
      <c r="E59" s="17" t="s">
        <v>1897</v>
      </c>
      <c r="F59" s="17" t="s">
        <v>1825</v>
      </c>
      <c r="G59" s="17" t="s">
        <v>1898</v>
      </c>
      <c r="H59" s="17" t="s">
        <v>1858</v>
      </c>
    </row>
    <row r="60" customFormat="false" ht="15" hidden="false" customHeight="false" outlineLevel="0" collapsed="false">
      <c r="A60" s="17" t="s">
        <v>2266</v>
      </c>
      <c r="B60" s="17"/>
      <c r="C60" s="17" t="s">
        <v>1899</v>
      </c>
      <c r="D60" s="17" t="s">
        <v>1900</v>
      </c>
      <c r="E60" s="17" t="s">
        <v>1892</v>
      </c>
      <c r="F60" s="17" t="s">
        <v>1825</v>
      </c>
      <c r="G60" s="17" t="s">
        <v>1901</v>
      </c>
      <c r="H60" s="17" t="s">
        <v>1858</v>
      </c>
    </row>
    <row r="61" customFormat="false" ht="15" hidden="false" customHeight="false" outlineLevel="0" collapsed="false">
      <c r="A61" s="17" t="s">
        <v>2266</v>
      </c>
      <c r="B61" s="17"/>
      <c r="C61" s="17" t="s">
        <v>1905</v>
      </c>
      <c r="D61" s="17" t="s">
        <v>1906</v>
      </c>
      <c r="E61" s="17" t="s">
        <v>1907</v>
      </c>
      <c r="F61" s="17" t="s">
        <v>1825</v>
      </c>
      <c r="G61" s="17" t="s">
        <v>1901</v>
      </c>
      <c r="H61" s="17" t="s">
        <v>1858</v>
      </c>
    </row>
    <row r="62" customFormat="false" ht="15" hidden="false" customHeight="false" outlineLevel="0" collapsed="false">
      <c r="A62" s="17" t="s">
        <v>2266</v>
      </c>
      <c r="B62" s="17"/>
      <c r="C62" s="17" t="s">
        <v>1908</v>
      </c>
      <c r="D62" s="17" t="s">
        <v>1909</v>
      </c>
      <c r="E62" s="17" t="s">
        <v>1910</v>
      </c>
      <c r="F62" s="17" t="s">
        <v>1825</v>
      </c>
      <c r="G62" s="17" t="s">
        <v>1901</v>
      </c>
      <c r="H62" s="17" t="s">
        <v>1858</v>
      </c>
    </row>
    <row r="63" customFormat="false" ht="15" hidden="false" customHeight="false" outlineLevel="0" collapsed="false">
      <c r="A63" s="17" t="s">
        <v>2266</v>
      </c>
      <c r="B63" s="17"/>
      <c r="C63" s="17" t="s">
        <v>1911</v>
      </c>
      <c r="D63" s="17" t="s">
        <v>1912</v>
      </c>
      <c r="E63" s="17" t="s">
        <v>1913</v>
      </c>
      <c r="F63" s="17" t="s">
        <v>1825</v>
      </c>
      <c r="G63" s="17" t="s">
        <v>1901</v>
      </c>
      <c r="H63" s="17" t="s">
        <v>1858</v>
      </c>
    </row>
    <row r="64" customFormat="false" ht="15" hidden="false" customHeight="false" outlineLevel="0" collapsed="false">
      <c r="A64" s="17" t="s">
        <v>2266</v>
      </c>
      <c r="B64" s="17"/>
      <c r="C64" s="17" t="s">
        <v>870</v>
      </c>
      <c r="D64" s="17" t="s">
        <v>1914</v>
      </c>
      <c r="E64" s="17" t="s">
        <v>1915</v>
      </c>
      <c r="F64" s="17" t="s">
        <v>1825</v>
      </c>
      <c r="G64" s="17" t="s">
        <v>1901</v>
      </c>
      <c r="H64" s="17" t="s">
        <v>1858</v>
      </c>
    </row>
    <row r="65" customFormat="false" ht="15" hidden="false" customHeight="false" outlineLevel="0" collapsed="false">
      <c r="A65" s="17" t="s">
        <v>2311</v>
      </c>
      <c r="B65" s="17"/>
      <c r="C65" s="17" t="s">
        <v>232</v>
      </c>
      <c r="D65" s="17" t="s">
        <v>1917</v>
      </c>
      <c r="E65" s="17" t="s">
        <v>1918</v>
      </c>
      <c r="F65" s="17" t="s">
        <v>1578</v>
      </c>
      <c r="G65" s="17" t="s">
        <v>1919</v>
      </c>
      <c r="H65" s="17" t="s">
        <v>1920</v>
      </c>
    </row>
    <row r="66" customFormat="false" ht="15" hidden="false" customHeight="false" outlineLevel="0" collapsed="false">
      <c r="A66" s="17" t="s">
        <v>2311</v>
      </c>
      <c r="B66" s="17"/>
      <c r="C66" s="17" t="s">
        <v>1581</v>
      </c>
      <c r="D66" s="17" t="s">
        <v>1925</v>
      </c>
      <c r="E66" s="17" t="s">
        <v>1926</v>
      </c>
      <c r="F66" s="17" t="s">
        <v>1578</v>
      </c>
      <c r="G66" s="17" t="s">
        <v>1927</v>
      </c>
      <c r="H66" s="17" t="s">
        <v>1928</v>
      </c>
    </row>
    <row r="67" customFormat="false" ht="15" hidden="false" customHeight="false" outlineLevel="0" collapsed="false">
      <c r="A67" s="17" t="s">
        <v>2311</v>
      </c>
      <c r="B67" s="17"/>
      <c r="C67" s="17" t="s">
        <v>1041</v>
      </c>
      <c r="D67" s="17" t="s">
        <v>1933</v>
      </c>
      <c r="E67" s="17" t="s">
        <v>1934</v>
      </c>
      <c r="F67" s="17" t="s">
        <v>1935</v>
      </c>
      <c r="G67" s="17" t="s">
        <v>1936</v>
      </c>
      <c r="H67" s="17" t="s">
        <v>1928</v>
      </c>
    </row>
    <row r="68" customFormat="false" ht="15" hidden="false" customHeight="false" outlineLevel="0" collapsed="false">
      <c r="A68" s="17" t="s">
        <v>2311</v>
      </c>
      <c r="B68" s="17"/>
      <c r="C68" s="17" t="s">
        <v>1040</v>
      </c>
      <c r="D68" s="17" t="s">
        <v>1940</v>
      </c>
      <c r="E68" s="17" t="s">
        <v>1941</v>
      </c>
      <c r="F68" s="17" t="s">
        <v>1935</v>
      </c>
      <c r="G68" s="17" t="s">
        <v>1942</v>
      </c>
      <c r="H68" s="17" t="s">
        <v>1928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sheetData>
    <row r="1" customFormat="false" ht="52.2" hidden="false" customHeight="false" outlineLevel="0" collapsed="false">
      <c r="A1" s="6" t="s">
        <v>1943</v>
      </c>
      <c r="B1" s="6" t="s">
        <v>1947</v>
      </c>
      <c r="C1" s="6" t="s">
        <v>2361</v>
      </c>
      <c r="D1" s="6" t="s">
        <v>2362</v>
      </c>
      <c r="E1" s="6" t="s">
        <v>2363</v>
      </c>
      <c r="F1" s="6" t="s">
        <v>2364</v>
      </c>
      <c r="G1" s="6" t="s">
        <v>2365</v>
      </c>
      <c r="H1" s="6" t="s">
        <v>2366</v>
      </c>
    </row>
    <row r="2" customFormat="false" ht="15" hidden="false" customHeight="false" outlineLevel="0" collapsed="false">
      <c r="A2" s="17" t="s">
        <v>2108</v>
      </c>
      <c r="B2" s="17"/>
      <c r="C2" s="17" t="s">
        <v>232</v>
      </c>
      <c r="D2" s="17" t="s">
        <v>1664</v>
      </c>
      <c r="E2" s="17" t="s">
        <v>1665</v>
      </c>
      <c r="F2" s="17" t="s">
        <v>1578</v>
      </c>
      <c r="G2" s="17" t="s">
        <v>1639</v>
      </c>
      <c r="H2" s="17" t="s">
        <v>1640</v>
      </c>
    </row>
    <row r="3" customFormat="false" ht="15" hidden="false" customHeight="false" outlineLevel="0" collapsed="false">
      <c r="A3" s="17" t="s">
        <v>2108</v>
      </c>
      <c r="B3" s="17"/>
      <c r="C3" s="17" t="s">
        <v>1581</v>
      </c>
      <c r="D3" s="17" t="s">
        <v>1666</v>
      </c>
      <c r="E3" s="17" t="s">
        <v>1667</v>
      </c>
      <c r="F3" s="17" t="s">
        <v>1578</v>
      </c>
      <c r="G3" s="17" t="s">
        <v>1639</v>
      </c>
      <c r="H3" s="17" t="s">
        <v>1640</v>
      </c>
    </row>
    <row r="4" customFormat="false" ht="15" hidden="false" customHeight="false" outlineLevel="0" collapsed="false">
      <c r="A4" s="17" t="s">
        <v>2108</v>
      </c>
      <c r="B4" s="17"/>
      <c r="C4" s="17" t="s">
        <v>1041</v>
      </c>
      <c r="D4" s="17" t="s">
        <v>1637</v>
      </c>
      <c r="E4" s="17" t="s">
        <v>1638</v>
      </c>
      <c r="F4" s="17" t="s">
        <v>1578</v>
      </c>
      <c r="G4" s="17" t="s">
        <v>1639</v>
      </c>
      <c r="H4" s="17" t="s">
        <v>1640</v>
      </c>
    </row>
    <row r="5" customFormat="false" ht="15" hidden="false" customHeight="false" outlineLevel="0" collapsed="false">
      <c r="A5" s="17" t="s">
        <v>2108</v>
      </c>
      <c r="B5" s="17"/>
      <c r="C5" s="17" t="s">
        <v>1040</v>
      </c>
      <c r="D5" s="17" t="s">
        <v>1668</v>
      </c>
      <c r="E5" s="17" t="s">
        <v>1669</v>
      </c>
      <c r="F5" s="17" t="s">
        <v>1578</v>
      </c>
      <c r="G5" s="17" t="s">
        <v>1670</v>
      </c>
      <c r="H5" s="17" t="s">
        <v>1640</v>
      </c>
    </row>
    <row r="6" customFormat="false" ht="15" hidden="false" customHeight="false" outlineLevel="0" collapsed="false">
      <c r="A6" s="17" t="s">
        <v>2108</v>
      </c>
      <c r="B6" s="17"/>
      <c r="C6" s="17" t="s">
        <v>1593</v>
      </c>
      <c r="D6" s="17" t="s">
        <v>1671</v>
      </c>
      <c r="E6" s="17" t="s">
        <v>1672</v>
      </c>
      <c r="F6" s="17" t="s">
        <v>1578</v>
      </c>
      <c r="G6" s="17" t="s">
        <v>1670</v>
      </c>
      <c r="H6" s="17" t="s">
        <v>1640</v>
      </c>
    </row>
    <row r="7" customFormat="false" ht="15" hidden="false" customHeight="false" outlineLevel="0" collapsed="false">
      <c r="A7" s="17" t="s">
        <v>2108</v>
      </c>
      <c r="B7" s="17"/>
      <c r="C7" s="17" t="s">
        <v>1598</v>
      </c>
      <c r="D7" s="17" t="s">
        <v>1673</v>
      </c>
      <c r="E7" s="17" t="s">
        <v>1674</v>
      </c>
      <c r="F7" s="17" t="s">
        <v>1578</v>
      </c>
      <c r="G7" s="17" t="s">
        <v>1670</v>
      </c>
      <c r="H7" s="17" t="s">
        <v>1640</v>
      </c>
    </row>
    <row r="8" customFormat="false" ht="15" hidden="false" customHeight="false" outlineLevel="0" collapsed="false">
      <c r="A8" s="17" t="s">
        <v>2108</v>
      </c>
      <c r="B8" s="17"/>
      <c r="C8" s="17" t="s">
        <v>1605</v>
      </c>
      <c r="D8" s="17" t="s">
        <v>1675</v>
      </c>
      <c r="E8" s="17" t="s">
        <v>1676</v>
      </c>
      <c r="F8" s="17" t="s">
        <v>1619</v>
      </c>
      <c r="G8" s="17" t="s">
        <v>1677</v>
      </c>
      <c r="H8" s="17" t="s">
        <v>1631</v>
      </c>
    </row>
    <row r="9" customFormat="false" ht="15" hidden="false" customHeight="false" outlineLevel="0" collapsed="false">
      <c r="A9" s="17" t="s">
        <v>2108</v>
      </c>
      <c r="B9" s="17"/>
      <c r="C9" s="17" t="s">
        <v>1616</v>
      </c>
      <c r="D9" s="17" t="s">
        <v>1620</v>
      </c>
      <c r="E9" s="17" t="s">
        <v>1621</v>
      </c>
      <c r="F9" s="17" t="s">
        <v>1619</v>
      </c>
      <c r="G9" s="17" t="s">
        <v>1622</v>
      </c>
      <c r="H9" s="17" t="s">
        <v>1614</v>
      </c>
    </row>
    <row r="10" customFormat="false" ht="15" hidden="false" customHeight="false" outlineLevel="0" collapsed="false">
      <c r="A10" s="17" t="s">
        <v>2108</v>
      </c>
      <c r="B10" s="17"/>
      <c r="C10" s="17" t="s">
        <v>676</v>
      </c>
      <c r="D10" s="17" t="s">
        <v>1628</v>
      </c>
      <c r="E10" s="17" t="s">
        <v>1629</v>
      </c>
      <c r="F10" s="17" t="s">
        <v>1626</v>
      </c>
      <c r="G10" s="17" t="s">
        <v>1630</v>
      </c>
      <c r="H10" s="17" t="s">
        <v>1631</v>
      </c>
    </row>
    <row r="11" customFormat="false" ht="15" hidden="false" customHeight="false" outlineLevel="0" collapsed="false">
      <c r="A11" s="17" t="s">
        <v>2108</v>
      </c>
      <c r="B11" s="17"/>
      <c r="C11" s="17" t="s">
        <v>286</v>
      </c>
      <c r="D11" s="17" t="s">
        <v>1678</v>
      </c>
      <c r="E11" s="17" t="s">
        <v>1679</v>
      </c>
      <c r="F11" s="17" t="s">
        <v>1626</v>
      </c>
      <c r="G11" s="17" t="s">
        <v>1680</v>
      </c>
      <c r="H11" s="17" t="s">
        <v>1614</v>
      </c>
    </row>
    <row r="12" customFormat="false" ht="15" hidden="false" customHeight="false" outlineLevel="0" collapsed="false">
      <c r="A12" s="17" t="s">
        <v>2108</v>
      </c>
      <c r="B12" s="17"/>
      <c r="C12" s="17" t="s">
        <v>1641</v>
      </c>
      <c r="D12" s="17" t="s">
        <v>1681</v>
      </c>
      <c r="E12" s="17" t="s">
        <v>1682</v>
      </c>
      <c r="F12" s="17" t="s">
        <v>1608</v>
      </c>
      <c r="G12" s="17" t="s">
        <v>1683</v>
      </c>
      <c r="H12" s="17" t="s">
        <v>1631</v>
      </c>
    </row>
    <row r="13" customFormat="false" ht="15" hidden="false" customHeight="false" outlineLevel="0" collapsed="false">
      <c r="A13" s="17" t="s">
        <v>2108</v>
      </c>
      <c r="B13" s="17"/>
      <c r="C13" s="17" t="s">
        <v>272</v>
      </c>
      <c r="D13" s="17" t="s">
        <v>1611</v>
      </c>
      <c r="E13" s="17" t="s">
        <v>1612</v>
      </c>
      <c r="F13" s="17" t="s">
        <v>1608</v>
      </c>
      <c r="G13" s="17" t="s">
        <v>1613</v>
      </c>
      <c r="H13" s="17" t="s">
        <v>1614</v>
      </c>
    </row>
    <row r="14" customFormat="false" ht="15" hidden="false" customHeight="false" outlineLevel="0" collapsed="false">
      <c r="A14" s="17" t="s">
        <v>2179</v>
      </c>
      <c r="B14" s="17"/>
      <c r="C14" s="17" t="s">
        <v>232</v>
      </c>
      <c r="D14" s="17" t="s">
        <v>1690</v>
      </c>
      <c r="E14" s="17" t="s">
        <v>1687</v>
      </c>
      <c r="F14" s="17" t="s">
        <v>1590</v>
      </c>
      <c r="G14" s="17" t="s">
        <v>1691</v>
      </c>
      <c r="H14" s="17" t="s">
        <v>1692</v>
      </c>
    </row>
    <row r="15" customFormat="false" ht="15" hidden="false" customHeight="false" outlineLevel="0" collapsed="false">
      <c r="A15" s="17" t="s">
        <v>2179</v>
      </c>
      <c r="B15" s="17"/>
      <c r="C15" s="17" t="s">
        <v>1581</v>
      </c>
      <c r="D15" s="17" t="s">
        <v>1699</v>
      </c>
      <c r="E15" s="17" t="s">
        <v>1041</v>
      </c>
      <c r="F15" s="17" t="s">
        <v>1590</v>
      </c>
      <c r="G15" s="17" t="s">
        <v>1700</v>
      </c>
      <c r="H15" s="17" t="s">
        <v>1698</v>
      </c>
    </row>
    <row r="16" customFormat="false" ht="15" hidden="false" customHeight="false" outlineLevel="0" collapsed="false">
      <c r="A16" s="17" t="s">
        <v>2179</v>
      </c>
      <c r="B16" s="17"/>
      <c r="C16" s="17" t="s">
        <v>1041</v>
      </c>
      <c r="D16" s="17" t="s">
        <v>1706</v>
      </c>
      <c r="E16" s="17" t="s">
        <v>1704</v>
      </c>
      <c r="F16" s="17" t="s">
        <v>1590</v>
      </c>
      <c r="G16" s="17" t="s">
        <v>1707</v>
      </c>
      <c r="H16" s="17" t="s">
        <v>1692</v>
      </c>
    </row>
    <row r="17" customFormat="false" ht="15" hidden="false" customHeight="false" outlineLevel="0" collapsed="false">
      <c r="A17" s="17" t="s">
        <v>2179</v>
      </c>
      <c r="B17" s="17"/>
      <c r="C17" s="17" t="s">
        <v>1040</v>
      </c>
      <c r="D17" s="17" t="s">
        <v>1711</v>
      </c>
      <c r="E17" s="17" t="s">
        <v>881</v>
      </c>
      <c r="F17" s="17" t="s">
        <v>1590</v>
      </c>
      <c r="G17" s="17" t="s">
        <v>1712</v>
      </c>
      <c r="H17" s="17" t="s">
        <v>1692</v>
      </c>
    </row>
    <row r="18" customFormat="false" ht="15" hidden="false" customHeight="false" outlineLevel="0" collapsed="false">
      <c r="A18" s="17" t="s">
        <v>2227</v>
      </c>
      <c r="B18" s="17"/>
      <c r="C18" s="17" t="s">
        <v>232</v>
      </c>
      <c r="D18" s="17" t="s">
        <v>1726</v>
      </c>
      <c r="E18" s="17" t="s">
        <v>1730</v>
      </c>
      <c r="F18" s="17" t="s">
        <v>264</v>
      </c>
      <c r="G18" s="17" t="s">
        <v>1731</v>
      </c>
      <c r="H18" s="17" t="s">
        <v>1732</v>
      </c>
    </row>
    <row r="19" customFormat="false" ht="15" hidden="false" customHeight="false" outlineLevel="0" collapsed="false">
      <c r="A19" s="17" t="s">
        <v>2227</v>
      </c>
      <c r="B19" s="17"/>
      <c r="C19" s="17" t="s">
        <v>1581</v>
      </c>
      <c r="D19" s="17" t="s">
        <v>1734</v>
      </c>
      <c r="E19" s="17" t="s">
        <v>1737</v>
      </c>
      <c r="F19" s="17" t="s">
        <v>264</v>
      </c>
      <c r="G19" s="17" t="s">
        <v>1738</v>
      </c>
      <c r="H19" s="17" t="s">
        <v>1732</v>
      </c>
    </row>
    <row r="20" customFormat="false" ht="15" hidden="false" customHeight="false" outlineLevel="0" collapsed="false">
      <c r="A20" s="17" t="s">
        <v>2227</v>
      </c>
      <c r="B20" s="17"/>
      <c r="C20" s="17" t="s">
        <v>1041</v>
      </c>
      <c r="D20" s="17" t="s">
        <v>1747</v>
      </c>
      <c r="E20" s="17" t="s">
        <v>1748</v>
      </c>
      <c r="F20" s="17" t="s">
        <v>264</v>
      </c>
      <c r="G20" s="17" t="s">
        <v>1749</v>
      </c>
      <c r="H20" s="17" t="s">
        <v>1732</v>
      </c>
    </row>
    <row r="21" customFormat="false" ht="15" hidden="false" customHeight="false" outlineLevel="0" collapsed="false">
      <c r="A21" s="17" t="s">
        <v>2227</v>
      </c>
      <c r="B21" s="17"/>
      <c r="C21" s="17" t="s">
        <v>1040</v>
      </c>
      <c r="D21" s="17" t="s">
        <v>1753</v>
      </c>
      <c r="E21" s="17" t="s">
        <v>1754</v>
      </c>
      <c r="F21" s="17" t="s">
        <v>264</v>
      </c>
      <c r="G21" s="17" t="s">
        <v>1755</v>
      </c>
      <c r="H21" s="17" t="s">
        <v>1732</v>
      </c>
    </row>
    <row r="22" customFormat="false" ht="15" hidden="false" customHeight="false" outlineLevel="0" collapsed="false">
      <c r="A22" s="17" t="s">
        <v>2227</v>
      </c>
      <c r="B22" s="17"/>
      <c r="C22" s="17" t="s">
        <v>1593</v>
      </c>
      <c r="D22" s="17" t="s">
        <v>1758</v>
      </c>
      <c r="E22" s="17" t="s">
        <v>1759</v>
      </c>
      <c r="F22" s="17" t="s">
        <v>264</v>
      </c>
      <c r="G22" s="17" t="s">
        <v>1760</v>
      </c>
      <c r="H22" s="17" t="s">
        <v>1732</v>
      </c>
    </row>
    <row r="23" customFormat="false" ht="15" hidden="false" customHeight="false" outlineLevel="0" collapsed="false">
      <c r="A23" s="17" t="s">
        <v>2227</v>
      </c>
      <c r="B23" s="17"/>
      <c r="C23" s="17" t="s">
        <v>1598</v>
      </c>
      <c r="D23" s="17" t="s">
        <v>1774</v>
      </c>
      <c r="E23" s="17" t="s">
        <v>1775</v>
      </c>
      <c r="F23" s="17" t="s">
        <v>264</v>
      </c>
      <c r="G23" s="17" t="s">
        <v>1776</v>
      </c>
      <c r="H23" s="17" t="s">
        <v>1777</v>
      </c>
    </row>
    <row r="24" customFormat="false" ht="15" hidden="false" customHeight="false" outlineLevel="0" collapsed="false">
      <c r="A24" s="17" t="s">
        <v>2227</v>
      </c>
      <c r="B24" s="17"/>
      <c r="C24" s="17" t="s">
        <v>1605</v>
      </c>
      <c r="D24" s="17" t="s">
        <v>1778</v>
      </c>
      <c r="E24" s="17" t="s">
        <v>1779</v>
      </c>
      <c r="F24" s="17" t="s">
        <v>264</v>
      </c>
      <c r="G24" s="17" t="s">
        <v>1780</v>
      </c>
      <c r="H24" s="17" t="s">
        <v>1777</v>
      </c>
    </row>
    <row r="25" customFormat="false" ht="15" hidden="false" customHeight="false" outlineLevel="0" collapsed="false">
      <c r="A25" s="17" t="s">
        <v>2227</v>
      </c>
      <c r="B25" s="17"/>
      <c r="C25" s="17" t="s">
        <v>1616</v>
      </c>
      <c r="D25" s="17" t="s">
        <v>1781</v>
      </c>
      <c r="E25" s="17" t="s">
        <v>1782</v>
      </c>
      <c r="F25" s="17" t="s">
        <v>264</v>
      </c>
      <c r="G25" s="17" t="s">
        <v>1783</v>
      </c>
      <c r="H25" s="17" t="s">
        <v>1777</v>
      </c>
    </row>
    <row r="26" customFormat="false" ht="15" hidden="false" customHeight="false" outlineLevel="0" collapsed="false">
      <c r="A26" s="17" t="s">
        <v>2227</v>
      </c>
      <c r="B26" s="17"/>
      <c r="C26" s="17" t="s">
        <v>676</v>
      </c>
      <c r="D26" s="17" t="s">
        <v>1784</v>
      </c>
      <c r="E26" s="17" t="s">
        <v>1785</v>
      </c>
      <c r="F26" s="17" t="s">
        <v>264</v>
      </c>
      <c r="G26" s="17" t="s">
        <v>1786</v>
      </c>
      <c r="H26" s="17" t="s">
        <v>1777</v>
      </c>
    </row>
    <row r="27" customFormat="false" ht="15" hidden="false" customHeight="false" outlineLevel="0" collapsed="false">
      <c r="A27" s="17" t="s">
        <v>2266</v>
      </c>
      <c r="B27" s="17"/>
      <c r="C27" s="17" t="s">
        <v>232</v>
      </c>
      <c r="D27" s="17" t="s">
        <v>1788</v>
      </c>
      <c r="E27" s="17" t="s">
        <v>1792</v>
      </c>
      <c r="F27" s="17" t="s">
        <v>1578</v>
      </c>
      <c r="G27" s="17" t="s">
        <v>1793</v>
      </c>
      <c r="H27" s="17" t="s">
        <v>1794</v>
      </c>
    </row>
    <row r="28" customFormat="false" ht="15" hidden="false" customHeight="false" outlineLevel="0" collapsed="false">
      <c r="A28" s="17" t="s">
        <v>2266</v>
      </c>
      <c r="B28" s="17"/>
      <c r="C28" s="17" t="s">
        <v>1581</v>
      </c>
      <c r="D28" s="17" t="s">
        <v>1796</v>
      </c>
      <c r="E28" s="17" t="s">
        <v>1799</v>
      </c>
      <c r="F28" s="17" t="s">
        <v>1578</v>
      </c>
      <c r="G28" s="17" t="s">
        <v>1793</v>
      </c>
      <c r="H28" s="17" t="s">
        <v>1794</v>
      </c>
    </row>
    <row r="29" customFormat="false" ht="15" hidden="false" customHeight="false" outlineLevel="0" collapsed="false">
      <c r="A29" s="17" t="s">
        <v>2266</v>
      </c>
      <c r="B29" s="17"/>
      <c r="C29" s="17" t="s">
        <v>1041</v>
      </c>
      <c r="D29" s="17" t="s">
        <v>1800</v>
      </c>
      <c r="E29" s="17" t="s">
        <v>1802</v>
      </c>
      <c r="F29" s="17" t="s">
        <v>1578</v>
      </c>
      <c r="G29" s="17" t="s">
        <v>1793</v>
      </c>
      <c r="H29" s="17" t="s">
        <v>1794</v>
      </c>
    </row>
    <row r="30" customFormat="false" ht="15" hidden="false" customHeight="false" outlineLevel="0" collapsed="false">
      <c r="A30" s="17" t="s">
        <v>2266</v>
      </c>
      <c r="B30" s="17"/>
      <c r="C30" s="17" t="s">
        <v>1040</v>
      </c>
      <c r="D30" s="17" t="s">
        <v>1803</v>
      </c>
      <c r="E30" s="17" t="s">
        <v>1805</v>
      </c>
      <c r="F30" s="17" t="s">
        <v>1578</v>
      </c>
      <c r="G30" s="17" t="s">
        <v>1793</v>
      </c>
      <c r="H30" s="17" t="s">
        <v>1794</v>
      </c>
    </row>
    <row r="31" customFormat="false" ht="15" hidden="false" customHeight="false" outlineLevel="0" collapsed="false">
      <c r="A31" s="17" t="s">
        <v>2266</v>
      </c>
      <c r="B31" s="17"/>
      <c r="C31" s="17" t="s">
        <v>1593</v>
      </c>
      <c r="D31" s="17" t="s">
        <v>1806</v>
      </c>
      <c r="E31" s="17" t="s">
        <v>1809</v>
      </c>
      <c r="F31" s="17" t="s">
        <v>1578</v>
      </c>
      <c r="G31" s="17" t="s">
        <v>1810</v>
      </c>
      <c r="H31" s="17" t="s">
        <v>1794</v>
      </c>
    </row>
    <row r="32" customFormat="false" ht="15" hidden="false" customHeight="false" outlineLevel="0" collapsed="false">
      <c r="A32" s="17" t="s">
        <v>2266</v>
      </c>
      <c r="B32" s="17"/>
      <c r="C32" s="17" t="s">
        <v>1598</v>
      </c>
      <c r="D32" s="17" t="s">
        <v>1814</v>
      </c>
      <c r="E32" s="17" t="s">
        <v>1815</v>
      </c>
      <c r="F32" s="17" t="s">
        <v>1578</v>
      </c>
      <c r="G32" s="17" t="s">
        <v>1816</v>
      </c>
      <c r="H32" s="17" t="s">
        <v>1794</v>
      </c>
    </row>
    <row r="33" customFormat="false" ht="15" hidden="false" customHeight="false" outlineLevel="0" collapsed="false">
      <c r="A33" s="17" t="s">
        <v>2266</v>
      </c>
      <c r="B33" s="17"/>
      <c r="C33" s="17" t="s">
        <v>1605</v>
      </c>
      <c r="D33" s="17" t="s">
        <v>1828</v>
      </c>
      <c r="E33" s="17" t="s">
        <v>1829</v>
      </c>
      <c r="F33" s="17" t="s">
        <v>1830</v>
      </c>
      <c r="G33" s="17" t="s">
        <v>1831</v>
      </c>
      <c r="H33" s="17" t="s">
        <v>1832</v>
      </c>
    </row>
    <row r="34" customFormat="false" ht="15" hidden="false" customHeight="false" outlineLevel="0" collapsed="false">
      <c r="A34" s="17" t="s">
        <v>2266</v>
      </c>
      <c r="B34" s="17"/>
      <c r="C34" s="17" t="s">
        <v>1616</v>
      </c>
      <c r="D34" s="17" t="s">
        <v>1837</v>
      </c>
      <c r="E34" s="17" t="s">
        <v>1838</v>
      </c>
      <c r="F34" s="17" t="s">
        <v>1830</v>
      </c>
      <c r="G34" s="17" t="s">
        <v>1839</v>
      </c>
      <c r="H34" s="17" t="s">
        <v>1832</v>
      </c>
    </row>
    <row r="35" customFormat="false" ht="15" hidden="false" customHeight="false" outlineLevel="0" collapsed="false">
      <c r="A35" s="17" t="s">
        <v>2266</v>
      </c>
      <c r="B35" s="17"/>
      <c r="C35" s="17" t="s">
        <v>676</v>
      </c>
      <c r="D35" s="17" t="s">
        <v>1844</v>
      </c>
      <c r="E35" s="17" t="s">
        <v>1845</v>
      </c>
      <c r="F35" s="17" t="s">
        <v>1830</v>
      </c>
      <c r="G35" s="17" t="s">
        <v>1846</v>
      </c>
      <c r="H35" s="17" t="s">
        <v>1832</v>
      </c>
    </row>
    <row r="36" customFormat="false" ht="15" hidden="false" customHeight="false" outlineLevel="0" collapsed="false">
      <c r="A36" s="17" t="s">
        <v>2266</v>
      </c>
      <c r="B36" s="17"/>
      <c r="C36" s="17" t="s">
        <v>286</v>
      </c>
      <c r="D36" s="17" t="s">
        <v>1850</v>
      </c>
      <c r="E36" s="17" t="s">
        <v>1851</v>
      </c>
      <c r="F36" s="17" t="s">
        <v>1830</v>
      </c>
      <c r="G36" s="17" t="s">
        <v>1852</v>
      </c>
      <c r="H36" s="17" t="s">
        <v>1832</v>
      </c>
    </row>
    <row r="37" customFormat="false" ht="15" hidden="false" customHeight="false" outlineLevel="0" collapsed="false">
      <c r="A37" s="17" t="s">
        <v>2266</v>
      </c>
      <c r="B37" s="17"/>
      <c r="C37" s="17" t="s">
        <v>1641</v>
      </c>
      <c r="D37" s="17" t="s">
        <v>1859</v>
      </c>
      <c r="E37" s="17" t="s">
        <v>1860</v>
      </c>
      <c r="F37" s="17" t="s">
        <v>1830</v>
      </c>
      <c r="G37" s="17" t="s">
        <v>1861</v>
      </c>
      <c r="H37" s="17" t="s">
        <v>1862</v>
      </c>
    </row>
    <row r="38" customFormat="false" ht="15" hidden="false" customHeight="false" outlineLevel="0" collapsed="false">
      <c r="A38" s="17" t="s">
        <v>2266</v>
      </c>
      <c r="B38" s="17"/>
      <c r="C38" s="17" t="s">
        <v>272</v>
      </c>
      <c r="D38" s="17" t="s">
        <v>1882</v>
      </c>
      <c r="E38" s="17" t="s">
        <v>1883</v>
      </c>
      <c r="F38" s="17" t="s">
        <v>1830</v>
      </c>
      <c r="G38" s="17" t="s">
        <v>1884</v>
      </c>
      <c r="H38" s="17" t="s">
        <v>1862</v>
      </c>
    </row>
    <row r="39" customFormat="false" ht="15" hidden="false" customHeight="false" outlineLevel="0" collapsed="false">
      <c r="A39" s="17" t="s">
        <v>2266</v>
      </c>
      <c r="B39" s="17"/>
      <c r="C39" s="17" t="s">
        <v>871</v>
      </c>
      <c r="D39" s="17" t="s">
        <v>1902</v>
      </c>
      <c r="E39" s="17" t="s">
        <v>1903</v>
      </c>
      <c r="F39" s="17" t="s">
        <v>1830</v>
      </c>
      <c r="G39" s="17" t="s">
        <v>1904</v>
      </c>
      <c r="H39" s="17" t="s">
        <v>1862</v>
      </c>
    </row>
    <row r="40" customFormat="false" ht="15" hidden="false" customHeight="false" outlineLevel="0" collapsed="false">
      <c r="A40" s="17" t="s">
        <v>2311</v>
      </c>
      <c r="B40" s="17"/>
      <c r="C40" s="17" t="s">
        <v>232</v>
      </c>
      <c r="D40" s="17" t="s">
        <v>1921</v>
      </c>
      <c r="E40" s="17" t="s">
        <v>1922</v>
      </c>
      <c r="F40" s="17" t="s">
        <v>1578</v>
      </c>
      <c r="G40" s="17" t="s">
        <v>1923</v>
      </c>
      <c r="H40" s="17" t="s">
        <v>1924</v>
      </c>
    </row>
    <row r="41" customFormat="false" ht="15" hidden="false" customHeight="false" outlineLevel="0" collapsed="false">
      <c r="A41" s="17" t="s">
        <v>2311</v>
      </c>
      <c r="B41" s="17"/>
      <c r="C41" s="17" t="s">
        <v>1581</v>
      </c>
      <c r="D41" s="17" t="s">
        <v>1937</v>
      </c>
      <c r="E41" s="17" t="s">
        <v>1938</v>
      </c>
      <c r="F41" s="17" t="s">
        <v>1935</v>
      </c>
      <c r="G41" s="17" t="s">
        <v>1939</v>
      </c>
      <c r="H41" s="17" t="s">
        <v>1932</v>
      </c>
    </row>
    <row r="42" customFormat="false" ht="15" hidden="false" customHeight="false" outlineLevel="0" collapsed="false">
      <c r="A42" s="17" t="s">
        <v>2311</v>
      </c>
      <c r="B42" s="17"/>
      <c r="C42" s="17" t="s">
        <v>1041</v>
      </c>
      <c r="D42" s="17" t="s">
        <v>1929</v>
      </c>
      <c r="E42" s="17" t="s">
        <v>1930</v>
      </c>
      <c r="F42" s="17" t="s">
        <v>1578</v>
      </c>
      <c r="G42" s="17" t="s">
        <v>1931</v>
      </c>
      <c r="H42" s="17" t="s">
        <v>1932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2026-10-23T12:51:29Z</dcterms:created>
  <dc:creator>openpyxl</dc:creator>
  <dc:description/>
  <dc:language>en-US</dc:language>
  <cp:lastModifiedBy/>
  <dcterms:modified xsi:type="dcterms:W3CDTF">2026-10-23T12:51:31Z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